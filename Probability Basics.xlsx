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NY\Downloads\"/>
    </mc:Choice>
  </mc:AlternateContent>
  <bookViews>
    <workbookView xWindow="0" yWindow="0" windowWidth="20490" windowHeight="7155" firstSheet="2" activeTab="9"/>
  </bookViews>
  <sheets>
    <sheet name="Answer 1" sheetId="1" r:id="rId1"/>
    <sheet name="Answer 2" sheetId="2" r:id="rId2"/>
    <sheet name="Answer 3" sheetId="3" r:id="rId3"/>
    <sheet name="Answer 4" sheetId="4" r:id="rId4"/>
    <sheet name="Answer 5" sheetId="5" r:id="rId5"/>
    <sheet name="Answer 6" sheetId="6" r:id="rId6"/>
    <sheet name="Answer 7" sheetId="7" r:id="rId7"/>
    <sheet name="Answer 8" sheetId="8" r:id="rId8"/>
    <sheet name="Answer 9" sheetId="9" r:id="rId9"/>
    <sheet name="Answer 10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10" l="1"/>
  <c r="C17" i="10"/>
  <c r="A8" i="9"/>
  <c r="A7" i="8"/>
  <c r="A17" i="7"/>
  <c r="A15" i="7"/>
  <c r="A12" i="6"/>
  <c r="A13" i="5"/>
  <c r="A16" i="4"/>
  <c r="A13" i="3"/>
  <c r="C10" i="3"/>
  <c r="C9" i="3"/>
  <c r="A17" i="2"/>
  <c r="A15" i="2"/>
</calcChain>
</file>

<file path=xl/sharedStrings.xml><?xml version="1.0" encoding="utf-8"?>
<sst xmlns="http://schemas.openxmlformats.org/spreadsheetml/2006/main" count="138" uniqueCount="129">
  <si>
    <t>A die is rolled. What is the probability of getting</t>
  </si>
  <si>
    <t>(a) An even number</t>
  </si>
  <si>
    <t>(b) A number greater than 4</t>
  </si>
  <si>
    <t>Q1</t>
  </si>
  <si>
    <r>
      <t xml:space="preserve">When a </t>
    </r>
    <r>
      <rPr>
        <b/>
        <sz val="11"/>
        <color theme="1"/>
        <rFont val="Calibri"/>
        <family val="2"/>
        <scheme val="minor"/>
      </rPr>
      <t>fair die</t>
    </r>
    <r>
      <rPr>
        <sz val="11"/>
        <color theme="1"/>
        <rFont val="Calibri"/>
        <family val="2"/>
        <scheme val="minor"/>
      </rPr>
      <t xml:space="preserve"> is rolled, it has </t>
    </r>
    <r>
      <rPr>
        <b/>
        <sz val="11"/>
        <color theme="1"/>
        <rFont val="Calibri"/>
        <family val="2"/>
        <scheme val="minor"/>
      </rPr>
      <t>6 equally likely outcomes</t>
    </r>
    <r>
      <rPr>
        <sz val="11"/>
        <color theme="1"/>
        <rFont val="Calibri"/>
        <family val="2"/>
        <scheme val="minor"/>
      </rPr>
      <t>:</t>
    </r>
  </si>
  <si>
    <t>{1, 2, 3, 4, 5, 6}</t>
  </si>
  <si>
    <t>(a) Probability of getting an even number</t>
  </si>
  <si>
    <r>
      <t xml:space="preserve">Even numbers on a die are: </t>
    </r>
    <r>
      <rPr>
        <b/>
        <sz val="11"/>
        <color theme="1"/>
        <rFont val="Calibri"/>
        <family val="2"/>
        <scheme val="minor"/>
      </rPr>
      <t>2, 4, 6</t>
    </r>
  </si>
  <si>
    <r>
      <t xml:space="preserve">Number of favorable outcomes = </t>
    </r>
    <r>
      <rPr>
        <b/>
        <sz val="11"/>
        <color theme="1"/>
        <rFont val="Calibri"/>
        <family val="2"/>
        <scheme val="minor"/>
      </rPr>
      <t>3</t>
    </r>
  </si>
  <si>
    <t>(b) Probability of getting a number greater than 4</t>
  </si>
  <si>
    <r>
      <t xml:space="preserve">Numbers greater than 4 are: </t>
    </r>
    <r>
      <rPr>
        <b/>
        <sz val="11"/>
        <color theme="1"/>
        <rFont val="Calibri"/>
        <family val="2"/>
        <scheme val="minor"/>
      </rPr>
      <t>5, 6</t>
    </r>
  </si>
  <si>
    <r>
      <t xml:space="preserve">Number of favorable outcomes = </t>
    </r>
    <r>
      <rPr>
        <b/>
        <sz val="11"/>
        <color theme="1"/>
        <rFont val="Calibri"/>
        <family val="2"/>
        <scheme val="minor"/>
      </rPr>
      <t>2</t>
    </r>
  </si>
  <si>
    <t>P(Number greater than 4)=2/6​=1/3</t>
  </si>
  <si>
    <t>P(Even number)=3/6=1/2</t>
  </si>
  <si>
    <t>Q2</t>
  </si>
  <si>
    <t>In a class of 50 students:</t>
  </si>
  <si>
    <t>a) 20 like Mathematics (M)</t>
  </si>
  <si>
    <t>b) 15 like Science (S)</t>
  </si>
  <si>
    <t>c) 5 like both subjects</t>
  </si>
  <si>
    <t>What is the probability that a student chosen at random likes Mathematics or Science?</t>
  </si>
  <si>
    <t>Assume the data is entered like this:</t>
  </si>
  <si>
    <t>Step 1: Students who like Mathematics OR Science</t>
  </si>
  <si>
    <r>
      <t>J1</t>
    </r>
    <r>
      <rPr>
        <sz val="11"/>
        <color theme="1"/>
        <rFont val="Calibri"/>
        <family val="2"/>
        <scheme val="minor"/>
      </rPr>
      <t xml:space="preserve"> = Total Students → </t>
    </r>
    <r>
      <rPr>
        <sz val="10"/>
        <color theme="1"/>
        <rFont val="Arial Unicode MS"/>
        <family val="2"/>
      </rPr>
      <t>50</t>
    </r>
  </si>
  <si>
    <r>
      <rPr>
        <b/>
        <sz val="11"/>
        <color theme="1"/>
        <rFont val="Calibri"/>
        <family val="2"/>
        <scheme val="minor"/>
      </rPr>
      <t>J2</t>
    </r>
    <r>
      <rPr>
        <sz val="11"/>
        <color theme="1"/>
        <rFont val="Calibri"/>
        <family val="2"/>
        <scheme val="minor"/>
      </rPr>
      <t xml:space="preserve"> = Like Mathematics (M) → </t>
    </r>
    <r>
      <rPr>
        <sz val="10"/>
        <color theme="1"/>
        <rFont val="Arial Unicode MS"/>
        <family val="2"/>
      </rPr>
      <t>20</t>
    </r>
  </si>
  <si>
    <r>
      <t>J3</t>
    </r>
    <r>
      <rPr>
        <sz val="11"/>
        <color theme="1"/>
        <rFont val="Calibri"/>
        <family val="2"/>
        <scheme val="minor"/>
      </rPr>
      <t xml:space="preserve"> = Like Science (S) → </t>
    </r>
    <r>
      <rPr>
        <sz val="10"/>
        <color theme="1"/>
        <rFont val="Arial Unicode MS"/>
        <family val="2"/>
      </rPr>
      <t>15</t>
    </r>
  </si>
  <si>
    <r>
      <t>J4</t>
    </r>
    <r>
      <rPr>
        <sz val="11"/>
        <color theme="1"/>
        <rFont val="Calibri"/>
        <family val="2"/>
        <scheme val="minor"/>
      </rPr>
      <t xml:space="preserve"> = Like both (M ∩ S) → </t>
    </r>
    <r>
      <rPr>
        <sz val="10"/>
        <color theme="1"/>
        <rFont val="Arial Unicode MS"/>
        <family val="2"/>
      </rPr>
      <t>5</t>
    </r>
  </si>
  <si>
    <t>Step 2: Probability (M or S)</t>
  </si>
  <si>
    <t>Q3</t>
  </si>
  <si>
    <t>A bag has 3 red and 2 blue balls. If one ball is drawn randomly and is red, what is the probability that the next ball is also red (without replacement)?</t>
  </si>
  <si>
    <t>Step 1: Remaining balls after 1 red is drawn</t>
  </si>
  <si>
    <r>
      <rPr>
        <b/>
        <sz val="11"/>
        <color theme="1"/>
        <rFont val="Calibri"/>
        <family val="2"/>
        <scheme val="minor"/>
      </rPr>
      <t>I4</t>
    </r>
    <r>
      <rPr>
        <sz val="11"/>
        <color theme="1"/>
        <rFont val="Calibri"/>
        <family val="2"/>
        <scheme val="minor"/>
      </rPr>
      <t xml:space="preserve"> = Total Red balls → </t>
    </r>
    <r>
      <rPr>
        <sz val="10"/>
        <color theme="1"/>
        <rFont val="Arial Unicode MS"/>
        <family val="2"/>
      </rPr>
      <t>3</t>
    </r>
  </si>
  <si>
    <r>
      <rPr>
        <b/>
        <sz val="11"/>
        <color theme="1"/>
        <rFont val="Calibri"/>
        <family val="2"/>
        <scheme val="minor"/>
      </rPr>
      <t>I5</t>
    </r>
    <r>
      <rPr>
        <sz val="11"/>
        <color theme="1"/>
        <rFont val="Calibri"/>
        <family val="2"/>
        <scheme val="minor"/>
      </rPr>
      <t xml:space="preserve"> = Total Blue balls → </t>
    </r>
    <r>
      <rPr>
        <sz val="10"/>
        <color theme="1"/>
        <rFont val="Arial Unicode MS"/>
        <family val="2"/>
      </rPr>
      <t>2</t>
    </r>
  </si>
  <si>
    <t>Remaining Red</t>
  </si>
  <si>
    <t>Remaining Total Balls</t>
  </si>
  <si>
    <t>Probability that the next ball is red</t>
  </si>
  <si>
    <t>Q4</t>
  </si>
  <si>
    <t>The population of a school is divided into 60% boys and 40% girls. If you want equal representation of both genders in the sample, which method should you use:</t>
  </si>
  <si>
    <t>Simple Random Sampling or Stratified Sampling? Why?</t>
  </si>
  <si>
    <t>: Stratified Sampling</t>
  </si>
  <si>
    <t>Why?</t>
  </si>
  <si>
    <r>
      <t xml:space="preserve">The population is </t>
    </r>
    <r>
      <rPr>
        <b/>
        <sz val="11"/>
        <color theme="1"/>
        <rFont val="Calibri"/>
        <family val="2"/>
        <scheme val="minor"/>
      </rPr>
      <t>unevenly divided</t>
    </r>
    <r>
      <rPr>
        <sz val="11"/>
        <color theme="1"/>
        <rFont val="Calibri"/>
        <family val="2"/>
        <scheme val="minor"/>
      </rPr>
      <t xml:space="preserve"> (60% boys, 40% girls).</t>
    </r>
  </si>
  <si>
    <r>
      <t>Simple Random Sampling</t>
    </r>
    <r>
      <rPr>
        <sz val="11"/>
        <color theme="1"/>
        <rFont val="Calibri"/>
        <family val="2"/>
        <scheme val="minor"/>
      </rPr>
      <t xml:space="preserve"> may not give equal numbers of boys and girls.</t>
    </r>
  </si>
  <si>
    <r>
      <t>Stratified Sampling</t>
    </r>
    <r>
      <rPr>
        <sz val="11"/>
        <color theme="1"/>
        <rFont val="Calibri"/>
        <family val="2"/>
        <scheme val="minor"/>
      </rPr>
      <t xml:space="preserve"> allows you to </t>
    </r>
    <r>
      <rPr>
        <b/>
        <sz val="11"/>
        <color theme="1"/>
        <rFont val="Calibri"/>
        <family val="2"/>
        <scheme val="minor"/>
      </rPr>
      <t>force equal representation</t>
    </r>
    <r>
      <rPr>
        <sz val="11"/>
        <color theme="1"/>
        <rFont val="Calibri"/>
        <family val="2"/>
        <scheme val="minor"/>
      </rPr>
      <t xml:space="preserve"> from each group (gender).</t>
    </r>
  </si>
  <si>
    <t>Assume:</t>
  </si>
  <si>
    <r>
      <t xml:space="preserve">K7 </t>
    </r>
    <r>
      <rPr>
        <sz val="11"/>
        <color theme="1"/>
        <rFont val="Calibri"/>
        <family val="2"/>
        <scheme val="minor"/>
      </rPr>
      <t xml:space="preserve">= Number of groups (boys &amp; girls) → </t>
    </r>
    <r>
      <rPr>
        <sz val="10"/>
        <color theme="1"/>
        <rFont val="Arial Unicode MS"/>
        <family val="2"/>
      </rPr>
      <t>2</t>
    </r>
  </si>
  <si>
    <r>
      <rPr>
        <b/>
        <sz val="11"/>
        <color theme="1"/>
        <rFont val="Calibri"/>
        <family val="2"/>
        <scheme val="minor"/>
      </rPr>
      <t xml:space="preserve">K6 </t>
    </r>
    <r>
      <rPr>
        <sz val="11"/>
        <color theme="1"/>
        <rFont val="Calibri"/>
        <family val="2"/>
        <scheme val="minor"/>
      </rPr>
      <t xml:space="preserve">= Total sample size (e.g., </t>
    </r>
    <r>
      <rPr>
        <sz val="10"/>
        <color theme="1"/>
        <rFont val="Arial Unicode MS"/>
        <family val="2"/>
      </rPr>
      <t>100</t>
    </r>
    <r>
      <rPr>
        <sz val="11"/>
        <color theme="1"/>
        <rFont val="Calibri"/>
        <family val="2"/>
        <scheme val="minor"/>
      </rPr>
      <t>)</t>
    </r>
  </si>
  <si>
    <t>Sample size per gender (equal representation)</t>
  </si>
  <si>
    <r>
      <t xml:space="preserve">This ensures </t>
    </r>
    <r>
      <rPr>
        <b/>
        <sz val="11"/>
        <color theme="1"/>
        <rFont val="Calibri"/>
        <family val="2"/>
        <scheme val="minor"/>
      </rPr>
      <t>50 boys + 50 girls</t>
    </r>
    <r>
      <rPr>
        <sz val="11"/>
        <color theme="1"/>
        <rFont val="Calibri"/>
        <family val="2"/>
        <scheme val="minor"/>
      </rPr>
      <t>, regardless of population proportion.</t>
    </r>
  </si>
  <si>
    <t>Q5</t>
  </si>
  <si>
    <t>The average height of 1000 students = 160 cm. A sample of 100 students shows an average height = 158 cm</t>
  </si>
  <si>
    <t>Find the Sampling Error.</t>
  </si>
  <si>
    <t>Given:</t>
  </si>
  <si>
    <r>
      <t>Population mean height</t>
    </r>
    <r>
      <rPr>
        <sz val="11"/>
        <color theme="1"/>
        <rFont val="Calibri"/>
        <family val="2"/>
        <scheme val="minor"/>
      </rPr>
      <t xml:space="preserve"> = 160 cm</t>
    </r>
  </si>
  <si>
    <r>
      <t>Sample mean height</t>
    </r>
    <r>
      <rPr>
        <sz val="11"/>
        <color theme="1"/>
        <rFont val="Calibri"/>
        <family val="2"/>
        <scheme val="minor"/>
      </rPr>
      <t xml:space="preserve"> = 158 cm</t>
    </r>
  </si>
  <si>
    <r>
      <t xml:space="preserve">G4 </t>
    </r>
    <r>
      <rPr>
        <sz val="11"/>
        <color theme="1"/>
        <rFont val="Calibri"/>
        <family val="2"/>
        <scheme val="minor"/>
      </rPr>
      <t xml:space="preserve">= Population Mean → </t>
    </r>
    <r>
      <rPr>
        <sz val="10"/>
        <color theme="1"/>
        <rFont val="Arial Unicode MS"/>
        <family val="2"/>
      </rPr>
      <t>160</t>
    </r>
  </si>
  <si>
    <r>
      <t xml:space="preserve">G5 </t>
    </r>
    <r>
      <rPr>
        <sz val="11"/>
        <color theme="1"/>
        <rFont val="Calibri"/>
        <family val="2"/>
        <scheme val="minor"/>
      </rPr>
      <t xml:space="preserve">= Sample Mean → </t>
    </r>
    <r>
      <rPr>
        <sz val="10"/>
        <color theme="1"/>
        <rFont val="Arial Unicode MS"/>
        <family val="2"/>
      </rPr>
      <t>158</t>
    </r>
  </si>
  <si>
    <t>Q6</t>
  </si>
  <si>
    <t>The population mean salary is ₹50,000 with σ = ₹5,000. If we take a sample of 100 employees, what is the standard error of the mean (SEM)?</t>
  </si>
  <si>
    <t>Population standard deviation (σ) = ₹5,000</t>
  </si>
  <si>
    <t>Sample size (n) = 100</t>
  </si>
  <si>
    <r>
      <t>F5</t>
    </r>
    <r>
      <rPr>
        <sz val="11"/>
        <color theme="1"/>
        <rFont val="Calibri"/>
        <family val="2"/>
        <scheme val="minor"/>
      </rPr>
      <t xml:space="preserve"> = Sample size (n) → </t>
    </r>
    <r>
      <rPr>
        <sz val="10"/>
        <color theme="1"/>
        <rFont val="Arial Unicode MS"/>
        <family val="2"/>
      </rPr>
      <t>100</t>
    </r>
  </si>
  <si>
    <r>
      <rPr>
        <b/>
        <sz val="11"/>
        <color theme="1"/>
        <rFont val="Calibri"/>
        <family val="2"/>
        <scheme val="minor"/>
      </rPr>
      <t xml:space="preserve">F4 </t>
    </r>
    <r>
      <rPr>
        <sz val="11"/>
        <color theme="1"/>
        <rFont val="Calibri"/>
        <family val="2"/>
        <scheme val="minor"/>
      </rPr>
      <t xml:space="preserve">= Population SD (σ) → </t>
    </r>
    <r>
      <rPr>
        <sz val="10"/>
        <color theme="1"/>
        <rFont val="Arial Unicode MS"/>
        <family val="2"/>
      </rPr>
      <t>5000</t>
    </r>
  </si>
  <si>
    <t>Q7</t>
  </si>
  <si>
    <t>In a group of 100 students:</t>
  </si>
  <si>
    <t>a) 40 like Cricket ©</t>
  </si>
  <si>
    <t>b) 30 like Football (F)</t>
  </si>
  <si>
    <t>c) 10 like both Cricket and Football</t>
  </si>
  <si>
    <t>Find the probability that a student likes at least one sport.</t>
  </si>
  <si>
    <r>
      <t>G2</t>
    </r>
    <r>
      <rPr>
        <sz val="11"/>
        <color theme="1"/>
        <rFont val="Calibri"/>
        <family val="2"/>
        <scheme val="minor"/>
      </rPr>
      <t xml:space="preserve"> = Total Students → </t>
    </r>
    <r>
      <rPr>
        <sz val="10"/>
        <color theme="1"/>
        <rFont val="Arial Unicode MS"/>
        <family val="2"/>
      </rPr>
      <t>100</t>
    </r>
  </si>
  <si>
    <r>
      <t>G3</t>
    </r>
    <r>
      <rPr>
        <sz val="11"/>
        <color theme="1"/>
        <rFont val="Calibri"/>
        <family val="2"/>
        <scheme val="minor"/>
      </rPr>
      <t xml:space="preserve"> = Like Cricket (C) → </t>
    </r>
    <r>
      <rPr>
        <sz val="10"/>
        <color theme="1"/>
        <rFont val="Arial Unicode MS"/>
        <family val="2"/>
      </rPr>
      <t>40</t>
    </r>
  </si>
  <si>
    <r>
      <rPr>
        <b/>
        <sz val="11"/>
        <color theme="1"/>
        <rFont val="Calibri"/>
        <family val="2"/>
        <scheme val="minor"/>
      </rPr>
      <t>G4</t>
    </r>
    <r>
      <rPr>
        <sz val="11"/>
        <color theme="1"/>
        <rFont val="Calibri"/>
        <family val="2"/>
        <scheme val="minor"/>
      </rPr>
      <t xml:space="preserve"> = Like Football (F) → </t>
    </r>
    <r>
      <rPr>
        <sz val="10"/>
        <color theme="1"/>
        <rFont val="Arial Unicode MS"/>
        <family val="2"/>
      </rPr>
      <t>30</t>
    </r>
  </si>
  <si>
    <r>
      <t>G5</t>
    </r>
    <r>
      <rPr>
        <sz val="11"/>
        <color theme="1"/>
        <rFont val="Calibri"/>
        <family val="2"/>
        <scheme val="minor"/>
      </rPr>
      <t xml:space="preserve"> = Like both (C ∩ F) → </t>
    </r>
    <r>
      <rPr>
        <sz val="10"/>
        <color theme="1"/>
        <rFont val="Arial Unicode MS"/>
        <family val="2"/>
      </rPr>
      <t>10</t>
    </r>
  </si>
  <si>
    <t>Step 1: Students who like at least one sport</t>
  </si>
  <si>
    <t>Step 2: Probability</t>
  </si>
  <si>
    <t>Q8</t>
  </si>
  <si>
    <t>From a deck of 52 cards, two cards are drawn without replacement. What is the probability that both are Aces?</t>
  </si>
  <si>
    <r>
      <t>F4</t>
    </r>
    <r>
      <rPr>
        <sz val="11"/>
        <color theme="1"/>
        <rFont val="Calibri"/>
        <family val="2"/>
        <scheme val="minor"/>
      </rPr>
      <t xml:space="preserve"> = Total Aces → </t>
    </r>
    <r>
      <rPr>
        <sz val="10"/>
        <color theme="1"/>
        <rFont val="Arial Unicode MS"/>
        <family val="2"/>
      </rPr>
      <t>4</t>
    </r>
  </si>
  <si>
    <r>
      <t>F5</t>
    </r>
    <r>
      <rPr>
        <sz val="11"/>
        <color theme="1"/>
        <rFont val="Calibri"/>
        <family val="2"/>
        <scheme val="minor"/>
      </rPr>
      <t xml:space="preserve"> = Total Cards → </t>
    </r>
    <r>
      <rPr>
        <sz val="10"/>
        <color theme="1"/>
        <rFont val="Arial Unicode MS"/>
        <family val="2"/>
      </rPr>
      <t>52</t>
    </r>
  </si>
  <si>
    <t>Q9</t>
  </si>
  <si>
    <t>A factory produces bulbs with 2% defective rate. If 5 bulbs are chosen at random, what is the probability that all are non-defective?</t>
  </si>
  <si>
    <r>
      <t>G4</t>
    </r>
    <r>
      <rPr>
        <sz val="11"/>
        <color theme="1"/>
        <rFont val="Calibri"/>
        <family val="2"/>
        <scheme val="minor"/>
      </rPr>
      <t xml:space="preserve">= Non-defective probability → </t>
    </r>
    <r>
      <rPr>
        <sz val="10"/>
        <color theme="1"/>
        <rFont val="Arial Unicode MS"/>
        <family val="2"/>
      </rPr>
      <t>0.98</t>
    </r>
  </si>
  <si>
    <r>
      <t>G5</t>
    </r>
    <r>
      <rPr>
        <sz val="11"/>
        <color theme="1"/>
        <rFont val="Calibri"/>
        <family val="2"/>
        <scheme val="minor"/>
      </rPr>
      <t xml:space="preserve"> = Number of bulbs → </t>
    </r>
    <r>
      <rPr>
        <sz val="10"/>
        <color theme="1"/>
        <rFont val="Arial Unicode MS"/>
        <family val="2"/>
      </rPr>
      <t>5</t>
    </r>
  </si>
  <si>
    <t>Q10</t>
  </si>
  <si>
    <t>Differentiate between discrete and continuous random variables with examples.</t>
  </si>
  <si>
    <t>Basis</t>
  </si>
  <si>
    <t>Discrete Random Variable</t>
  </si>
  <si>
    <t>Continuous Random Variable</t>
  </si>
  <si>
    <t>Meaning</t>
  </si>
  <si>
    <r>
      <t xml:space="preserve">Takes </t>
    </r>
    <r>
      <rPr>
        <b/>
        <sz val="11"/>
        <color theme="1"/>
        <rFont val="Calibri"/>
        <family val="2"/>
        <scheme val="minor"/>
      </rPr>
      <t>countable values</t>
    </r>
  </si>
  <si>
    <r>
      <t xml:space="preserve">Takes </t>
    </r>
    <r>
      <rPr>
        <b/>
        <sz val="11"/>
        <color theme="1"/>
        <rFont val="Calibri"/>
        <family val="2"/>
        <scheme val="minor"/>
      </rPr>
      <t>measurable values</t>
    </r>
  </si>
  <si>
    <t>Values</t>
  </si>
  <si>
    <t>Whole numbers only</t>
  </si>
  <si>
    <t>Can be decimals</t>
  </si>
  <si>
    <t>Nature</t>
  </si>
  <si>
    <t>Counting</t>
  </si>
  <si>
    <t>Measurement</t>
  </si>
  <si>
    <t>Examples</t>
  </si>
  <si>
    <t>No. of students, no. of defects</t>
  </si>
  <si>
    <t>Height, weight, time</t>
  </si>
  <si>
    <t>Excel Example</t>
  </si>
  <si>
    <t>COUNT()</t>
  </si>
  <si>
    <t>AVERAGE()</t>
  </si>
  <si>
    <t>Cell</t>
  </si>
  <si>
    <t>Value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</si>
  <si>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</si>
  <si>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</si>
  <si>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</si>
  <si>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</si>
  <si>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</si>
  <si>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</si>
  <si>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</si>
  <si>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</si>
  <si>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</si>
  <si>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</si>
  <si>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Discrete Random Variable (A1:A10)</t>
  </si>
  <si>
    <t>Example: Number of defective bulbs</t>
  </si>
  <si>
    <t>(1 = Defective, 0 = Non-defective)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</si>
  <si>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</si>
  <si>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</si>
  <si>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</si>
  <si>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</si>
  <si>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</si>
  <si>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</si>
  <si>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</si>
  <si>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</si>
  <si>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</si>
  <si>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</si>
  <si>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Continuous Random Variable (B1:B10)</t>
  </si>
  <si>
    <t>Example: Height of students (in 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</si>
</sst>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16" fontId="0" fillId="0" borderId="0" xfId="0" applyNumberFormat="1"/>
    <xf numFmtId="0" fontId="0" fillId="2" borderId="0" xfId="0" applyFill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3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B5:D10" totalsRowShown="0" headerRowDxfId="8" dataDxfId="9">
  <autoFilter ref="B5:D10"/>
  <tableColumns count="3">
    <tableColumn id="1" name="Basis" dataDxfId="12"/>
    <tableColumn id="2" name="Discrete Random Variable" dataDxfId="11"/>
    <tableColumn id="3" name="Continuous Random Variabl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2:B22" totalsRowShown="0" headerRowDxfId="7" dataDxfId="6">
  <autoFilter ref="A12:B22"/>
  <tableColumns count="2">
    <tableColumn id="1" name="Cell" dataDxfId="5"/>
    <tableColumn id="2" name="Valu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4:B34" totalsRowShown="0" headerRowDxfId="3" dataDxfId="0">
  <autoFilter ref="A24:B34"/>
  <tableColumns count="2">
    <tableColumn id="1" name="Cell" dataDxfId="2"/>
    <tableColumn id="2" name="Val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opLeftCell="A11" workbookViewId="0">
      <selection activeCell="E27" sqref="E27"/>
    </sheetView>
  </sheetViews>
  <sheetFormatPr defaultRowHeight="15" x14ac:dyDescent="0.25"/>
  <sheetData>
    <row r="1" spans="1:6" x14ac:dyDescent="0.25">
      <c r="A1" s="1" t="s">
        <v>3</v>
      </c>
      <c r="B1" s="1"/>
      <c r="C1" s="1"/>
      <c r="D1" s="1"/>
      <c r="E1" s="1"/>
      <c r="F1" s="1"/>
    </row>
    <row r="2" spans="1:6" x14ac:dyDescent="0.25">
      <c r="A2" s="1" t="s">
        <v>0</v>
      </c>
      <c r="B2" s="1"/>
      <c r="C2" s="1"/>
      <c r="D2" s="1"/>
      <c r="E2" s="1"/>
      <c r="F2" s="1"/>
    </row>
    <row r="3" spans="1:6" x14ac:dyDescent="0.25">
      <c r="A3" s="1" t="s">
        <v>1</v>
      </c>
      <c r="B3" s="1"/>
      <c r="C3" s="1"/>
      <c r="D3" s="1"/>
      <c r="E3" s="1"/>
      <c r="F3" s="1"/>
    </row>
    <row r="4" spans="1:6" x14ac:dyDescent="0.25">
      <c r="A4" s="1" t="s">
        <v>2</v>
      </c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t="s">
        <v>4</v>
      </c>
    </row>
    <row r="7" spans="1:6" x14ac:dyDescent="0.25">
      <c r="A7" t="s">
        <v>5</v>
      </c>
    </row>
    <row r="9" spans="1:6" ht="18" x14ac:dyDescent="0.25">
      <c r="A9" s="2" t="s">
        <v>6</v>
      </c>
    </row>
    <row r="11" spans="1:6" x14ac:dyDescent="0.25">
      <c r="A11" t="s">
        <v>7</v>
      </c>
    </row>
    <row r="12" spans="1:6" x14ac:dyDescent="0.25">
      <c r="A12" t="s">
        <v>8</v>
      </c>
    </row>
    <row r="13" spans="1:6" x14ac:dyDescent="0.25">
      <c r="A13" t="s">
        <v>13</v>
      </c>
      <c r="C13" s="4"/>
    </row>
    <row r="15" spans="1:6" ht="18" x14ac:dyDescent="0.25">
      <c r="A15" s="2" t="s">
        <v>9</v>
      </c>
    </row>
    <row r="17" spans="1:4" x14ac:dyDescent="0.25">
      <c r="A17" t="s">
        <v>10</v>
      </c>
    </row>
    <row r="18" spans="1:4" x14ac:dyDescent="0.25">
      <c r="A18" t="s">
        <v>11</v>
      </c>
    </row>
    <row r="20" spans="1:4" x14ac:dyDescent="0.25">
      <c r="A20" t="s">
        <v>12</v>
      </c>
      <c r="D20" s="4"/>
    </row>
    <row r="21" spans="1:4" x14ac:dyDescent="0.25">
      <c r="C2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G18" sqref="G18"/>
    </sheetView>
  </sheetViews>
  <sheetFormatPr defaultRowHeight="15" x14ac:dyDescent="0.25"/>
  <cols>
    <col min="10" max="10" width="9.140625" style="7"/>
  </cols>
  <sheetData>
    <row r="1" spans="1:10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8">
        <v>50</v>
      </c>
    </row>
    <row r="2" spans="1:10" x14ac:dyDescent="0.25">
      <c r="A2" s="1" t="s">
        <v>15</v>
      </c>
      <c r="B2" s="1"/>
      <c r="C2" s="1"/>
      <c r="D2" s="1"/>
      <c r="E2" s="1"/>
      <c r="F2" s="1"/>
      <c r="G2" s="1"/>
      <c r="H2" s="1"/>
      <c r="I2" s="1"/>
      <c r="J2" s="8">
        <v>20</v>
      </c>
    </row>
    <row r="3" spans="1:10" x14ac:dyDescent="0.25">
      <c r="A3" s="1" t="s">
        <v>16</v>
      </c>
      <c r="B3" s="1"/>
      <c r="C3" s="1"/>
      <c r="D3" s="1"/>
      <c r="E3" s="1"/>
      <c r="F3" s="1"/>
      <c r="G3" s="1"/>
      <c r="H3" s="1"/>
      <c r="I3" s="1"/>
      <c r="J3" s="8">
        <v>15</v>
      </c>
    </row>
    <row r="4" spans="1:10" x14ac:dyDescent="0.25">
      <c r="A4" s="1" t="s">
        <v>17</v>
      </c>
      <c r="B4" s="1"/>
      <c r="C4" s="1"/>
      <c r="D4" s="1"/>
      <c r="E4" s="1"/>
      <c r="F4" s="1"/>
      <c r="G4" s="1"/>
      <c r="H4" s="1"/>
      <c r="I4" s="1"/>
      <c r="J4" s="8">
        <v>5</v>
      </c>
    </row>
    <row r="5" spans="1:10" x14ac:dyDescent="0.25">
      <c r="A5" s="1" t="s">
        <v>18</v>
      </c>
      <c r="B5" s="1"/>
      <c r="C5" s="1"/>
      <c r="D5" s="1"/>
      <c r="E5" s="1"/>
      <c r="F5" s="1"/>
      <c r="G5" s="1"/>
      <c r="H5" s="1"/>
      <c r="I5" s="1"/>
    </row>
    <row r="6" spans="1:10" x14ac:dyDescent="0.25">
      <c r="A6" s="1" t="s">
        <v>19</v>
      </c>
      <c r="B6" s="1"/>
      <c r="C6" s="1"/>
      <c r="D6" s="1"/>
      <c r="E6" s="1"/>
      <c r="F6" s="1"/>
      <c r="G6" s="1"/>
      <c r="H6" s="1"/>
      <c r="I6" s="1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</row>
    <row r="8" spans="1:10" ht="18" x14ac:dyDescent="0.25">
      <c r="A8" s="2" t="s">
        <v>20</v>
      </c>
    </row>
    <row r="9" spans="1:10" x14ac:dyDescent="0.25">
      <c r="A9" s="6" t="s">
        <v>22</v>
      </c>
    </row>
    <row r="10" spans="1:10" x14ac:dyDescent="0.25">
      <c r="A10" s="10" t="s">
        <v>23</v>
      </c>
    </row>
    <row r="11" spans="1:10" x14ac:dyDescent="0.25">
      <c r="A11" s="6" t="s">
        <v>24</v>
      </c>
    </row>
    <row r="12" spans="1:10" x14ac:dyDescent="0.25">
      <c r="A12" s="6" t="s">
        <v>25</v>
      </c>
    </row>
    <row r="14" spans="1:10" x14ac:dyDescent="0.25">
      <c r="A14" t="s">
        <v>21</v>
      </c>
    </row>
    <row r="15" spans="1:10" x14ac:dyDescent="0.25">
      <c r="A15" s="9">
        <f>J2+J3-J4</f>
        <v>30</v>
      </c>
    </row>
    <row r="16" spans="1:10" x14ac:dyDescent="0.25">
      <c r="A16" t="s">
        <v>26</v>
      </c>
    </row>
    <row r="17" spans="1:1" x14ac:dyDescent="0.25">
      <c r="A17" s="9">
        <f>A15/J1</f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F11" sqref="F11"/>
    </sheetView>
  </sheetViews>
  <sheetFormatPr defaultRowHeight="15" x14ac:dyDescent="0.25"/>
  <sheetData>
    <row r="1" spans="1:16" x14ac:dyDescent="0.25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 t="s">
        <v>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spans="1:16" ht="18" x14ac:dyDescent="0.25">
      <c r="A4" s="2" t="s">
        <v>20</v>
      </c>
      <c r="I4" s="8">
        <v>3</v>
      </c>
    </row>
    <row r="5" spans="1:16" x14ac:dyDescent="0.25">
      <c r="A5" s="10" t="s">
        <v>30</v>
      </c>
      <c r="I5" s="8">
        <v>2</v>
      </c>
    </row>
    <row r="6" spans="1:16" x14ac:dyDescent="0.25">
      <c r="A6" s="10" t="s">
        <v>31</v>
      </c>
    </row>
    <row r="8" spans="1:16" x14ac:dyDescent="0.25">
      <c r="A8" t="s">
        <v>29</v>
      </c>
      <c r="C8" s="7"/>
    </row>
    <row r="9" spans="1:16" x14ac:dyDescent="0.25">
      <c r="A9" t="s">
        <v>32</v>
      </c>
      <c r="C9" s="9">
        <f>I4-1</f>
        <v>2</v>
      </c>
    </row>
    <row r="10" spans="1:16" x14ac:dyDescent="0.25">
      <c r="A10" t="s">
        <v>33</v>
      </c>
      <c r="C10" s="9">
        <f>I4+I5-1</f>
        <v>4</v>
      </c>
    </row>
    <row r="12" spans="1:16" x14ac:dyDescent="0.25">
      <c r="A12" t="s">
        <v>34</v>
      </c>
    </row>
    <row r="13" spans="1:16" x14ac:dyDescent="0.25">
      <c r="A13" s="9">
        <f>(I4-1)/(I4+I5-1)</f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selection activeCell="G18" sqref="G18"/>
    </sheetView>
  </sheetViews>
  <sheetFormatPr defaultRowHeight="15" x14ac:dyDescent="0.25"/>
  <sheetData>
    <row r="1" spans="1:16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 t="s">
        <v>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37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23.25" x14ac:dyDescent="0.25">
      <c r="A5" s="11" t="s">
        <v>38</v>
      </c>
    </row>
    <row r="6" spans="1:16" ht="18" x14ac:dyDescent="0.25">
      <c r="A6" s="2" t="s">
        <v>39</v>
      </c>
      <c r="K6" s="8">
        <v>100</v>
      </c>
    </row>
    <row r="7" spans="1:16" x14ac:dyDescent="0.25">
      <c r="A7" s="5" t="s">
        <v>40</v>
      </c>
      <c r="K7" s="8">
        <v>2</v>
      </c>
    </row>
    <row r="8" spans="1:16" x14ac:dyDescent="0.25">
      <c r="A8" s="6" t="s">
        <v>41</v>
      </c>
    </row>
    <row r="9" spans="1:16" x14ac:dyDescent="0.25">
      <c r="A9" s="6" t="s">
        <v>42</v>
      </c>
    </row>
    <row r="11" spans="1:16" ht="18" x14ac:dyDescent="0.25">
      <c r="A11" s="2" t="s">
        <v>43</v>
      </c>
    </row>
    <row r="12" spans="1:16" x14ac:dyDescent="0.25">
      <c r="A12" s="10" t="s">
        <v>45</v>
      </c>
    </row>
    <row r="13" spans="1:16" x14ac:dyDescent="0.25">
      <c r="A13" s="6" t="s">
        <v>44</v>
      </c>
    </row>
    <row r="15" spans="1:16" x14ac:dyDescent="0.25">
      <c r="A15" t="s">
        <v>46</v>
      </c>
    </row>
    <row r="16" spans="1:16" x14ac:dyDescent="0.25">
      <c r="A16" s="9">
        <f>K6/K7</f>
        <v>50</v>
      </c>
    </row>
    <row r="17" spans="1:1" x14ac:dyDescent="0.25">
      <c r="A1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E12" sqref="E12"/>
    </sheetView>
  </sheetViews>
  <sheetFormatPr defaultRowHeight="15" x14ac:dyDescent="0.25"/>
  <sheetData>
    <row r="1" spans="1:12" x14ac:dyDescent="0.25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 t="s">
        <v>49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 t="s">
        <v>50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G4" s="8">
        <v>160</v>
      </c>
    </row>
    <row r="5" spans="1:12" ht="18" x14ac:dyDescent="0.25">
      <c r="A5" s="2" t="s">
        <v>51</v>
      </c>
      <c r="G5" s="8">
        <v>158</v>
      </c>
    </row>
    <row r="6" spans="1:12" x14ac:dyDescent="0.25">
      <c r="A6" s="6" t="s">
        <v>52</v>
      </c>
    </row>
    <row r="7" spans="1:12" x14ac:dyDescent="0.25">
      <c r="A7" s="6" t="s">
        <v>53</v>
      </c>
    </row>
    <row r="9" spans="1:12" ht="18" x14ac:dyDescent="0.25">
      <c r="A9" s="2" t="s">
        <v>43</v>
      </c>
    </row>
    <row r="10" spans="1:12" x14ac:dyDescent="0.25">
      <c r="A10" s="6" t="s">
        <v>54</v>
      </c>
    </row>
    <row r="11" spans="1:12" x14ac:dyDescent="0.25">
      <c r="A11" s="6" t="s">
        <v>55</v>
      </c>
    </row>
    <row r="13" spans="1:12" x14ac:dyDescent="0.25">
      <c r="A13" s="9">
        <f>G5-G4</f>
        <v>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J13" sqref="J13"/>
    </sheetView>
  </sheetViews>
  <sheetFormatPr defaultRowHeight="15" x14ac:dyDescent="0.25"/>
  <sheetData>
    <row r="1" spans="1:15" x14ac:dyDescent="0.25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 t="s">
        <v>57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spans="1:15" ht="18" x14ac:dyDescent="0.25">
      <c r="A4" s="2" t="s">
        <v>51</v>
      </c>
      <c r="F4" s="8">
        <v>5000</v>
      </c>
    </row>
    <row r="5" spans="1:15" x14ac:dyDescent="0.25">
      <c r="A5" s="5" t="s">
        <v>58</v>
      </c>
      <c r="F5" s="8">
        <v>100</v>
      </c>
    </row>
    <row r="6" spans="1:15" x14ac:dyDescent="0.25">
      <c r="A6" s="5" t="s">
        <v>59</v>
      </c>
    </row>
    <row r="8" spans="1:15" ht="18" x14ac:dyDescent="0.25">
      <c r="A8" s="2" t="s">
        <v>43</v>
      </c>
    </row>
    <row r="9" spans="1:15" x14ac:dyDescent="0.25">
      <c r="A9" s="10" t="s">
        <v>61</v>
      </c>
    </row>
    <row r="10" spans="1:15" x14ac:dyDescent="0.25">
      <c r="A10" s="6" t="s">
        <v>60</v>
      </c>
    </row>
    <row r="12" spans="1:15" x14ac:dyDescent="0.25">
      <c r="A12" s="9">
        <f>F4/SQRT(F5)</f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G14" sqref="G14"/>
    </sheetView>
  </sheetViews>
  <sheetFormatPr defaultRowHeight="15" x14ac:dyDescent="0.25"/>
  <sheetData>
    <row r="1" spans="1:7" x14ac:dyDescent="0.25">
      <c r="A1" s="1" t="s">
        <v>62</v>
      </c>
      <c r="B1" s="1"/>
      <c r="C1" s="1"/>
      <c r="D1" s="1"/>
      <c r="E1" s="1"/>
      <c r="F1" s="1"/>
    </row>
    <row r="2" spans="1:7" x14ac:dyDescent="0.25">
      <c r="A2" s="1" t="s">
        <v>63</v>
      </c>
      <c r="B2" s="1"/>
      <c r="C2" s="1"/>
      <c r="D2" s="1"/>
      <c r="E2" s="1"/>
      <c r="F2" s="1"/>
      <c r="G2" s="8">
        <v>100</v>
      </c>
    </row>
    <row r="3" spans="1:7" x14ac:dyDescent="0.25">
      <c r="A3" s="1" t="s">
        <v>64</v>
      </c>
      <c r="B3" s="1"/>
      <c r="C3" s="1"/>
      <c r="D3" s="1"/>
      <c r="E3" s="1"/>
      <c r="F3" s="1"/>
      <c r="G3" s="8">
        <v>40</v>
      </c>
    </row>
    <row r="4" spans="1:7" x14ac:dyDescent="0.25">
      <c r="A4" s="1" t="s">
        <v>65</v>
      </c>
      <c r="B4" s="1"/>
      <c r="C4" s="1"/>
      <c r="D4" s="1"/>
      <c r="E4" s="1"/>
      <c r="F4" s="1"/>
      <c r="G4" s="8">
        <v>30</v>
      </c>
    </row>
    <row r="5" spans="1:7" x14ac:dyDescent="0.25">
      <c r="A5" s="1" t="s">
        <v>66</v>
      </c>
      <c r="B5" s="1"/>
      <c r="C5" s="1"/>
      <c r="D5" s="1"/>
      <c r="E5" s="1"/>
      <c r="F5" s="1"/>
      <c r="G5" s="8">
        <v>10</v>
      </c>
    </row>
    <row r="6" spans="1:7" x14ac:dyDescent="0.25">
      <c r="A6" s="1" t="s">
        <v>67</v>
      </c>
      <c r="B6" s="1"/>
      <c r="C6" s="1"/>
      <c r="D6" s="1"/>
      <c r="E6" s="1"/>
      <c r="F6" s="1"/>
    </row>
    <row r="7" spans="1:7" x14ac:dyDescent="0.25">
      <c r="A7" s="1"/>
      <c r="B7" s="1"/>
      <c r="C7" s="1"/>
      <c r="D7" s="1"/>
      <c r="E7" s="1"/>
      <c r="F7" s="1"/>
    </row>
    <row r="8" spans="1:7" ht="18" x14ac:dyDescent="0.25">
      <c r="A8" s="2" t="s">
        <v>43</v>
      </c>
    </row>
    <row r="9" spans="1:7" x14ac:dyDescent="0.25">
      <c r="A9" s="6" t="s">
        <v>68</v>
      </c>
    </row>
    <row r="10" spans="1:7" x14ac:dyDescent="0.25">
      <c r="A10" s="6" t="s">
        <v>69</v>
      </c>
    </row>
    <row r="11" spans="1:7" x14ac:dyDescent="0.25">
      <c r="A11" s="10" t="s">
        <v>70</v>
      </c>
    </row>
    <row r="12" spans="1:7" x14ac:dyDescent="0.25">
      <c r="A12" s="6" t="s">
        <v>71</v>
      </c>
    </row>
    <row r="14" spans="1:7" x14ac:dyDescent="0.25">
      <c r="A14" t="s">
        <v>72</v>
      </c>
    </row>
    <row r="15" spans="1:7" x14ac:dyDescent="0.25">
      <c r="A15" s="9">
        <f>G3+G4-G5</f>
        <v>60</v>
      </c>
    </row>
    <row r="16" spans="1:7" x14ac:dyDescent="0.25">
      <c r="A16" t="s">
        <v>73</v>
      </c>
    </row>
    <row r="17" spans="1:1" x14ac:dyDescent="0.25">
      <c r="A17" s="9">
        <f>A15/G2</f>
        <v>0.6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G9" sqref="G9"/>
    </sheetView>
  </sheetViews>
  <sheetFormatPr defaultRowHeight="15" x14ac:dyDescent="0.25"/>
  <sheetData>
    <row r="1" spans="1:13" x14ac:dyDescent="0.25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 t="s">
        <v>75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1:13" ht="18" x14ac:dyDescent="0.25">
      <c r="A4" s="2" t="s">
        <v>43</v>
      </c>
      <c r="F4" s="8">
        <v>4</v>
      </c>
    </row>
    <row r="5" spans="1:13" x14ac:dyDescent="0.25">
      <c r="A5" s="6" t="s">
        <v>76</v>
      </c>
      <c r="F5" s="8">
        <v>52</v>
      </c>
    </row>
    <row r="6" spans="1:13" x14ac:dyDescent="0.25">
      <c r="A6" s="6" t="s">
        <v>77</v>
      </c>
    </row>
    <row r="7" spans="1:13" x14ac:dyDescent="0.25">
      <c r="A7" s="9">
        <f>(F4/F5)*((F4-1)/(F5-1))</f>
        <v>4.5248868778280547E-3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selection activeCell="E20" sqref="E20"/>
    </sheetView>
  </sheetViews>
  <sheetFormatPr defaultRowHeight="15" x14ac:dyDescent="0.25"/>
  <sheetData>
    <row r="1" spans="1:14" x14ac:dyDescent="0.25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 t="s">
        <v>79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ht="18" x14ac:dyDescent="0.25">
      <c r="A4" s="2" t="s">
        <v>43</v>
      </c>
      <c r="G4" s="8">
        <v>0.98</v>
      </c>
    </row>
    <row r="5" spans="1:14" x14ac:dyDescent="0.25">
      <c r="A5" s="6" t="s">
        <v>80</v>
      </c>
      <c r="G5" s="8">
        <v>5</v>
      </c>
    </row>
    <row r="6" spans="1:14" x14ac:dyDescent="0.25">
      <c r="A6" s="6" t="s">
        <v>81</v>
      </c>
    </row>
    <row r="8" spans="1:14" x14ac:dyDescent="0.25">
      <c r="A8" s="9">
        <f>G4^G5</f>
        <v>0.90392079679999982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workbookViewId="0">
      <selection activeCell="D29" sqref="D29"/>
    </sheetView>
  </sheetViews>
  <sheetFormatPr defaultRowHeight="15" x14ac:dyDescent="0.25"/>
  <cols>
    <col min="2" max="2" width="10.7109375" bestFit="1" customWidth="1"/>
    <col min="3" max="3" width="40" bestFit="1" customWidth="1"/>
    <col min="4" max="4" width="31.85546875" bestFit="1" customWidth="1"/>
  </cols>
  <sheetData>
    <row r="1" spans="1:10" x14ac:dyDescent="0.25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 t="s">
        <v>83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5" spans="1:10" ht="60" x14ac:dyDescent="0.25">
      <c r="B5" s="13" t="s">
        <v>84</v>
      </c>
      <c r="C5" s="13" t="s">
        <v>85</v>
      </c>
      <c r="D5" s="13" t="s">
        <v>86</v>
      </c>
    </row>
    <row r="6" spans="1:10" ht="60" x14ac:dyDescent="0.25">
      <c r="B6" s="14" t="s">
        <v>87</v>
      </c>
      <c r="C6" s="14" t="s">
        <v>88</v>
      </c>
      <c r="D6" s="14" t="s">
        <v>89</v>
      </c>
    </row>
    <row r="7" spans="1:10" ht="45" x14ac:dyDescent="0.25">
      <c r="B7" s="14" t="s">
        <v>90</v>
      </c>
      <c r="C7" s="14" t="s">
        <v>91</v>
      </c>
      <c r="D7" s="14" t="s">
        <v>92</v>
      </c>
    </row>
    <row r="8" spans="1:10" ht="30" x14ac:dyDescent="0.25">
      <c r="B8" s="14" t="s">
        <v>93</v>
      </c>
      <c r="C8" s="14" t="s">
        <v>94</v>
      </c>
      <c r="D8" s="14" t="s">
        <v>95</v>
      </c>
    </row>
    <row r="9" spans="1:10" ht="60" x14ac:dyDescent="0.25">
      <c r="B9" s="14" t="s">
        <v>96</v>
      </c>
      <c r="C9" s="14" t="s">
        <v>97</v>
      </c>
      <c r="D9" s="14" t="s">
        <v>98</v>
      </c>
    </row>
    <row r="10" spans="1:10" ht="30" x14ac:dyDescent="0.25">
      <c r="B10" s="14" t="s">
        <v>99</v>
      </c>
      <c r="C10" s="15" t="s">
        <v>100</v>
      </c>
      <c r="D10" s="15" t="s">
        <v>101</v>
      </c>
    </row>
    <row r="12" spans="1:10" x14ac:dyDescent="0.25">
      <c r="A12" s="13" t="s">
        <v>102</v>
      </c>
      <c r="B12" s="13" t="s">
        <v>103</v>
      </c>
    </row>
    <row r="13" spans="1:10" ht="18" x14ac:dyDescent="0.25">
      <c r="A13" s="12" t="s">
        <v>104</v>
      </c>
      <c r="B13" s="12">
        <v>1</v>
      </c>
      <c r="C13" s="2" t="s">
        <v>114</v>
      </c>
    </row>
    <row r="14" spans="1:10" x14ac:dyDescent="0.25">
      <c r="A14" s="12" t="s">
        <v>105</v>
      </c>
      <c r="B14" s="12">
        <v>0</v>
      </c>
    </row>
    <row r="15" spans="1:10" x14ac:dyDescent="0.25">
      <c r="A15" s="12" t="s">
        <v>106</v>
      </c>
      <c r="B15" s="12">
        <v>1</v>
      </c>
      <c r="C15" s="1" t="s">
        <v>115</v>
      </c>
    </row>
    <row r="16" spans="1:10" x14ac:dyDescent="0.25">
      <c r="A16" s="12" t="s">
        <v>107</v>
      </c>
      <c r="B16" s="12">
        <v>0</v>
      </c>
      <c r="C16" t="s">
        <v>116</v>
      </c>
    </row>
    <row r="17" spans="1:3" x14ac:dyDescent="0.25">
      <c r="A17" s="12" t="s">
        <v>108</v>
      </c>
      <c r="B17" s="12">
        <v>0</v>
      </c>
      <c r="C17" s="9">
        <f>COUNTIF(Table2[Value],0)</f>
        <v>6</v>
      </c>
    </row>
    <row r="18" spans="1:3" x14ac:dyDescent="0.25">
      <c r="A18" s="12" t="s">
        <v>109</v>
      </c>
      <c r="B18" s="12">
        <v>1</v>
      </c>
    </row>
    <row r="19" spans="1:3" x14ac:dyDescent="0.25">
      <c r="A19" s="12" t="s">
        <v>110</v>
      </c>
      <c r="B19" s="12">
        <v>0</v>
      </c>
    </row>
    <row r="20" spans="1:3" x14ac:dyDescent="0.25">
      <c r="A20" s="12" t="s">
        <v>111</v>
      </c>
      <c r="B20" s="12">
        <v>0</v>
      </c>
    </row>
    <row r="21" spans="1:3" x14ac:dyDescent="0.25">
      <c r="A21" s="12" t="s">
        <v>112</v>
      </c>
      <c r="B21" s="12">
        <v>1</v>
      </c>
    </row>
    <row r="22" spans="1:3" x14ac:dyDescent="0.25">
      <c r="A22" s="12" t="s">
        <v>113</v>
      </c>
      <c r="B22" s="12">
        <v>0</v>
      </c>
    </row>
    <row r="24" spans="1:3" x14ac:dyDescent="0.25">
      <c r="A24" s="13" t="s">
        <v>102</v>
      </c>
      <c r="B24" s="13" t="s">
        <v>103</v>
      </c>
    </row>
    <row r="25" spans="1:3" ht="18" x14ac:dyDescent="0.25">
      <c r="A25" s="12" t="s">
        <v>117</v>
      </c>
      <c r="B25" s="12">
        <v>158.19999999999999</v>
      </c>
      <c r="C25" s="2" t="s">
        <v>127</v>
      </c>
    </row>
    <row r="26" spans="1:3" x14ac:dyDescent="0.25">
      <c r="A26" s="12" t="s">
        <v>118</v>
      </c>
      <c r="B26" s="12">
        <v>160.5</v>
      </c>
    </row>
    <row r="27" spans="1:3" x14ac:dyDescent="0.25">
      <c r="A27" s="12" t="s">
        <v>119</v>
      </c>
      <c r="B27" s="12">
        <v>159.80000000000001</v>
      </c>
      <c r="C27" s="1" t="s">
        <v>128</v>
      </c>
    </row>
    <row r="28" spans="1:3" x14ac:dyDescent="0.25">
      <c r="A28" s="12" t="s">
        <v>120</v>
      </c>
      <c r="B28" s="12">
        <v>161</v>
      </c>
      <c r="C28" s="9">
        <f>AVERAGE(Table3[Value])</f>
        <v>159.88000000000002</v>
      </c>
    </row>
    <row r="29" spans="1:3" x14ac:dyDescent="0.25">
      <c r="A29" s="12" t="s">
        <v>121</v>
      </c>
      <c r="B29" s="12">
        <v>157.6</v>
      </c>
    </row>
    <row r="30" spans="1:3" x14ac:dyDescent="0.25">
      <c r="A30" s="12" t="s">
        <v>122</v>
      </c>
      <c r="B30" s="12">
        <v>162.30000000000001</v>
      </c>
    </row>
    <row r="31" spans="1:3" x14ac:dyDescent="0.25">
      <c r="A31" s="12" t="s">
        <v>123</v>
      </c>
      <c r="B31" s="12">
        <v>159.1</v>
      </c>
    </row>
    <row r="32" spans="1:3" x14ac:dyDescent="0.25">
      <c r="A32" s="12" t="s">
        <v>124</v>
      </c>
      <c r="B32" s="12">
        <v>160</v>
      </c>
    </row>
    <row r="33" spans="1:2" x14ac:dyDescent="0.25">
      <c r="A33" s="12" t="s">
        <v>125</v>
      </c>
      <c r="B33" s="12">
        <v>158.9</v>
      </c>
    </row>
    <row r="34" spans="1:2" x14ac:dyDescent="0.25">
      <c r="A34" s="12" t="s">
        <v>126</v>
      </c>
      <c r="B34" s="12">
        <v>161.4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Answer 1</vt:lpstr>
      <vt:lpstr>Answer 2</vt:lpstr>
      <vt:lpstr>Answer 3</vt:lpstr>
      <vt:lpstr>Answer 4</vt:lpstr>
      <vt:lpstr>Answer 5</vt:lpstr>
      <vt:lpstr>Answer 6</vt:lpstr>
      <vt:lpstr>Answer 7</vt:lpstr>
      <vt:lpstr>Answer 8</vt:lpstr>
      <vt:lpstr>Answer 9</vt:lpstr>
      <vt:lpstr>Answer 10</vt:lpstr>
    </vt:vector>
  </TitlesOfParts>
  <Company>PricewaterhouseCoopers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2026-01-01T14:17:13Z</dcterms:created>
  <dcterms:modified xsi:type="dcterms:W3CDTF">2026-01-01T16:09:42Z</dcterms:modified>
</cp:coreProperties>
</file>