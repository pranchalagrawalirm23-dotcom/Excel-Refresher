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ONY\Downloads\"/>
    </mc:Choice>
  </mc:AlternateContent>
  <bookViews>
    <workbookView xWindow="0" yWindow="0" windowWidth="20490" windowHeight="7155" firstSheet="2" activeTab="9"/>
  </bookViews>
  <sheets>
    <sheet name="Answer 1" sheetId="1" r:id="rId1"/>
    <sheet name="Answer 2" sheetId="3" r:id="rId2"/>
    <sheet name="Answer 3" sheetId="4" r:id="rId3"/>
    <sheet name="Answer 4" sheetId="5" r:id="rId4"/>
    <sheet name="Answer 5" sheetId="6" r:id="rId5"/>
    <sheet name="Answer 6" sheetId="7" r:id="rId6"/>
    <sheet name="Answer 7" sheetId="8" r:id="rId7"/>
    <sheet name="Answer 8" sheetId="9" r:id="rId8"/>
    <sheet name="Answer 9" sheetId="10" r:id="rId9"/>
    <sheet name="Answer 10" sheetId="11"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11" l="1"/>
  <c r="B17" i="11"/>
  <c r="B15" i="11"/>
  <c r="B9" i="10"/>
  <c r="B10" i="9"/>
  <c r="B11" i="8"/>
  <c r="B25" i="7"/>
  <c r="B23" i="7"/>
</calcChain>
</file>

<file path=xl/sharedStrings.xml><?xml version="1.0" encoding="utf-8"?>
<sst xmlns="http://schemas.openxmlformats.org/spreadsheetml/2006/main" count="168" uniqueCount="131">
  <si>
    <t>Q1</t>
  </si>
  <si>
    <t>Define Covariance and explain how it differs from Correlation in terms of scale and interpretation.</t>
  </si>
  <si>
    <r>
      <t>Covariance</t>
    </r>
    <r>
      <rPr>
        <sz val="11"/>
        <color theme="1"/>
        <rFont val="Calibri"/>
        <family val="2"/>
        <scheme val="minor"/>
      </rPr>
      <t xml:space="preserve"> is a statistical measure that shows </t>
    </r>
    <r>
      <rPr>
        <b/>
        <sz val="11"/>
        <color theme="1"/>
        <rFont val="Calibri"/>
        <family val="2"/>
        <scheme val="minor"/>
      </rPr>
      <t>how two variables move together</t>
    </r>
    <r>
      <rPr>
        <sz val="11"/>
        <color theme="1"/>
        <rFont val="Calibri"/>
        <family val="2"/>
        <scheme val="minor"/>
      </rPr>
      <t>. It indicates whether an increase in one variable is associated with an increase or decrease in another variable.</t>
    </r>
  </si>
  <si>
    <r>
      <t xml:space="preserve">A </t>
    </r>
    <r>
      <rPr>
        <b/>
        <sz val="11"/>
        <color theme="1"/>
        <rFont val="Calibri"/>
        <family val="2"/>
        <scheme val="minor"/>
      </rPr>
      <t>positive covariance</t>
    </r>
    <r>
      <rPr>
        <sz val="11"/>
        <color theme="1"/>
        <rFont val="Calibri"/>
        <family val="2"/>
        <scheme val="minor"/>
      </rPr>
      <t xml:space="preserve"> means both variables tend to move in the same direction.</t>
    </r>
  </si>
  <si>
    <r>
      <t xml:space="preserve">A </t>
    </r>
    <r>
      <rPr>
        <b/>
        <sz val="11"/>
        <color theme="1"/>
        <rFont val="Calibri"/>
        <family val="2"/>
        <scheme val="minor"/>
      </rPr>
      <t>negative covariance</t>
    </r>
    <r>
      <rPr>
        <sz val="11"/>
        <color theme="1"/>
        <rFont val="Calibri"/>
        <family val="2"/>
        <scheme val="minor"/>
      </rPr>
      <t xml:space="preserve"> means the variables tend to move in opposite directions.</t>
    </r>
  </si>
  <si>
    <r>
      <t xml:space="preserve">A covariance of </t>
    </r>
    <r>
      <rPr>
        <b/>
        <sz val="11"/>
        <color theme="1"/>
        <rFont val="Calibri"/>
        <family val="2"/>
        <scheme val="minor"/>
      </rPr>
      <t>zero</t>
    </r>
    <r>
      <rPr>
        <sz val="11"/>
        <color theme="1"/>
        <rFont val="Calibri"/>
        <family val="2"/>
        <scheme val="minor"/>
      </rPr>
      <t xml:space="preserve"> indicates no linear relationship.</t>
    </r>
  </si>
  <si>
    <t>Difference between Covariance and Correlation (in terms of scale and interpretation):</t>
  </si>
  <si>
    <t>Scale:</t>
  </si>
  <si>
    <r>
      <t xml:space="preserve">Covariance is </t>
    </r>
    <r>
      <rPr>
        <b/>
        <sz val="11"/>
        <color theme="1"/>
        <rFont val="Calibri"/>
        <family val="2"/>
        <scheme val="minor"/>
      </rPr>
      <t>scale-dependent</t>
    </r>
    <r>
      <rPr>
        <sz val="11"/>
        <color theme="1"/>
        <rFont val="Calibri"/>
        <family val="2"/>
        <scheme val="minor"/>
      </rPr>
      <t>, meaning its value changes with the units of measurement (e.g., rupees, minutes).</t>
    </r>
  </si>
  <si>
    <r>
      <t xml:space="preserve">Correlation indicates </t>
    </r>
    <r>
      <rPr>
        <b/>
        <sz val="11"/>
        <color theme="1"/>
        <rFont val="Calibri"/>
        <family val="2"/>
        <scheme val="minor"/>
      </rPr>
      <t>both the direction and the strength</t>
    </r>
    <r>
      <rPr>
        <sz val="11"/>
        <color theme="1"/>
        <rFont val="Calibri"/>
        <family val="2"/>
        <scheme val="minor"/>
      </rPr>
      <t xml:space="preserve"> of the relationship, making it easier to understand and compare.</t>
    </r>
  </si>
  <si>
    <t>Q2</t>
  </si>
  <si>
    <t>Q3</t>
  </si>
  <si>
    <t>What does a positive, negative, and zero covariance indicate about the relationship between two variables?</t>
  </si>
  <si>
    <t>Positive Covariance (Example):</t>
  </si>
  <si>
    <r>
      <t xml:space="preserve">Suppose </t>
    </r>
    <r>
      <rPr>
        <b/>
        <sz val="11"/>
        <color theme="1"/>
        <rFont val="Calibri"/>
        <family val="2"/>
        <scheme val="minor"/>
      </rPr>
      <t>advertising expenditure</t>
    </r>
    <r>
      <rPr>
        <sz val="11"/>
        <color theme="1"/>
        <rFont val="Calibri"/>
        <family val="2"/>
        <scheme val="minor"/>
      </rPr>
      <t xml:space="preserve"> and </t>
    </r>
    <r>
      <rPr>
        <b/>
        <sz val="11"/>
        <color theme="1"/>
        <rFont val="Calibri"/>
        <family val="2"/>
        <scheme val="minor"/>
      </rPr>
      <t>sales revenue</t>
    </r>
    <r>
      <rPr>
        <sz val="11"/>
        <color theme="1"/>
        <rFont val="Calibri"/>
        <family val="2"/>
        <scheme val="minor"/>
      </rPr>
      <t xml:space="preserve"> are studied. As advertising spending increases, sales also increase. This shows a </t>
    </r>
    <r>
      <rPr>
        <b/>
        <sz val="11"/>
        <color theme="1"/>
        <rFont val="Calibri"/>
        <family val="2"/>
        <scheme val="minor"/>
      </rPr>
      <t>positive covariance</t>
    </r>
    <r>
      <rPr>
        <sz val="11"/>
        <color theme="1"/>
        <rFont val="Calibri"/>
        <family val="2"/>
        <scheme val="minor"/>
      </rPr>
      <t xml:space="preserve"> because both variables move in the same direction.</t>
    </r>
  </si>
  <si>
    <t>Negative Covariance (Example):</t>
  </si>
  <si>
    <r>
      <t xml:space="preserve">Consider </t>
    </r>
    <r>
      <rPr>
        <b/>
        <sz val="11"/>
        <color theme="1"/>
        <rFont val="Calibri"/>
        <family val="2"/>
        <scheme val="minor"/>
      </rPr>
      <t>product price</t>
    </r>
    <r>
      <rPr>
        <sz val="11"/>
        <color theme="1"/>
        <rFont val="Calibri"/>
        <family val="2"/>
        <scheme val="minor"/>
      </rPr>
      <t xml:space="preserve"> and </t>
    </r>
    <r>
      <rPr>
        <b/>
        <sz val="11"/>
        <color theme="1"/>
        <rFont val="Calibri"/>
        <family val="2"/>
        <scheme val="minor"/>
      </rPr>
      <t>quantity demanded</t>
    </r>
    <r>
      <rPr>
        <sz val="11"/>
        <color theme="1"/>
        <rFont val="Calibri"/>
        <family val="2"/>
        <scheme val="minor"/>
      </rPr>
      <t xml:space="preserve">. When the price of a product increases, the quantity demanded decreases. This indicates a </t>
    </r>
    <r>
      <rPr>
        <b/>
        <sz val="11"/>
        <color theme="1"/>
        <rFont val="Calibri"/>
        <family val="2"/>
        <scheme val="minor"/>
      </rPr>
      <t>negative covariance</t>
    </r>
    <r>
      <rPr>
        <sz val="11"/>
        <color theme="1"/>
        <rFont val="Calibri"/>
        <family val="2"/>
        <scheme val="minor"/>
      </rPr>
      <t>, as the variables move in opposite directions.</t>
    </r>
  </si>
  <si>
    <t>Zero Covariance (Example):</t>
  </si>
  <si>
    <r>
      <t xml:space="preserve">Suppose we study </t>
    </r>
    <r>
      <rPr>
        <b/>
        <sz val="11"/>
        <color theme="1"/>
        <rFont val="Calibri"/>
        <family val="2"/>
        <scheme val="minor"/>
      </rPr>
      <t>shoe size</t>
    </r>
    <r>
      <rPr>
        <sz val="11"/>
        <color theme="1"/>
        <rFont val="Calibri"/>
        <family val="2"/>
        <scheme val="minor"/>
      </rPr>
      <t xml:space="preserve"> and </t>
    </r>
    <r>
      <rPr>
        <b/>
        <sz val="11"/>
        <color theme="1"/>
        <rFont val="Calibri"/>
        <family val="2"/>
        <scheme val="minor"/>
      </rPr>
      <t>exam marks</t>
    </r>
    <r>
      <rPr>
        <sz val="11"/>
        <color theme="1"/>
        <rFont val="Calibri"/>
        <family val="2"/>
        <scheme val="minor"/>
      </rPr>
      <t xml:space="preserve"> of students. Changes in shoe size do not affect exam scores, showing </t>
    </r>
    <r>
      <rPr>
        <b/>
        <sz val="11"/>
        <color theme="1"/>
        <rFont val="Calibri"/>
        <family val="2"/>
        <scheme val="minor"/>
      </rPr>
      <t>zero covariance</t>
    </r>
    <r>
      <rPr>
        <sz val="11"/>
        <color theme="1"/>
        <rFont val="Calibri"/>
        <family val="2"/>
        <scheme val="minor"/>
      </rPr>
      <t>, meaning no linear relationship exists between the variables.</t>
    </r>
  </si>
  <si>
    <t>Discuss the limitations of covariance as a measure of relationship between two variables. Why is correlation preferred in many cases?</t>
  </si>
  <si>
    <t>Limitations of Covariance as a Measure of Relationship Between Two Variables:</t>
  </si>
  <si>
    <t>Covariance is a statistical measure that indicates the direction of the linear relationship between two variables. While it is useful, it has several limitations:</t>
  </si>
  <si>
    <t>1. Scale Dependence:</t>
  </si>
  <si>
    <t>Covariance depends on the units of the variables. For example, if we measure height in centimeters versus meters, the covariance value changes drastically. This makes it difficult to compare covariances across different datasets or variables with different units.</t>
  </si>
  <si>
    <t>2. Magnitude Interpretation:</t>
  </si>
  <si>
    <t>The actual value of covariance does not indicate the strength of the relationship clearly. A larger covariance does not necessarily mean a stronger relationship because it is affected by the scale of the variables.</t>
  </si>
  <si>
    <t>3. No Standard Range:</t>
  </si>
  <si>
    <t>Covariance can take any value from negative infinity to positive infinity. There is no standardized scale, making it hard to interpret whether the relationship is weak or strong.</t>
  </si>
  <si>
    <t>4. Direction Only (Limited Insight):</t>
  </si>
  <si>
    <t>Covariance only tells us the direction of the relationship (positive or negative), but not how strong or reliable this relationship is.</t>
  </si>
  <si>
    <t>5. Not Unitless:</t>
  </si>
  <si>
    <t>Because covariance is expressed in units obtained by multiplying the units of the two variables, it is not unitless, limiting its comparability.</t>
  </si>
  <si>
    <t>Why Correlation is Preferred in Many Cases:</t>
  </si>
  <si>
    <t>Correlation is a standardized version of covariance that addresses these limitations:</t>
  </si>
  <si>
    <t>1. Unitless Measure:</t>
  </si>
  <si>
    <t>Correlation is dimensionless. It standardizes covariance by dividing it by the product of the standard deviations of the two variables, allowing comparisons across variables with different units.</t>
  </si>
  <si>
    <t>2. Bounded Between -1 and +1:</t>
  </si>
  <si>
    <t>Correlation always lies between -1 and +1. A correlation of +1 indicates a perfect positive relationship, -1 indicates a perfect negative relationship, and 0 indicates no linear relationship. This makes interpretation much easier.</t>
  </si>
  <si>
    <t>3. Indicates Strength and Direction:</t>
  </si>
  <si>
    <r>
      <t xml:space="preserve">Unlike covariance, correlation provides information about both the </t>
    </r>
    <r>
      <rPr>
        <b/>
        <sz val="11"/>
        <color theme="1"/>
        <rFont val="Calibri"/>
        <family val="2"/>
        <scheme val="minor"/>
      </rPr>
      <t>strength</t>
    </r>
    <r>
      <rPr>
        <sz val="11"/>
        <color theme="1"/>
        <rFont val="Calibri"/>
        <family val="2"/>
        <scheme val="minor"/>
      </rPr>
      <t xml:space="preserve"> and </t>
    </r>
    <r>
      <rPr>
        <b/>
        <sz val="11"/>
        <color theme="1"/>
        <rFont val="Calibri"/>
        <family val="2"/>
        <scheme val="minor"/>
      </rPr>
      <t>direction</t>
    </r>
    <r>
      <rPr>
        <sz val="11"/>
        <color theme="1"/>
        <rFont val="Calibri"/>
        <family val="2"/>
        <scheme val="minor"/>
      </rPr>
      <t xml:space="preserve"> of the relationship. The closer the absolute value is to 1, the stronger the relationship.</t>
    </r>
  </si>
  <si>
    <t>4. Comparability:</t>
  </si>
  <si>
    <t>Since correlation is standardized, it allows comparisons between different pairs of variables or datasets without being influenced by the scale of measurement.</t>
  </si>
  <si>
    <t>Q4</t>
  </si>
  <si>
    <t>Explain the difference between Pearson’s correlation coefficient and Spearman’s rank correlation coefficient. When would you prefer to use Spearman’s correlation?</t>
  </si>
  <si>
    <t>Pearson's Correlation</t>
  </si>
  <si>
    <r>
      <t xml:space="preserve">Pearson’s correlation coefficient measures the </t>
    </r>
    <r>
      <rPr>
        <b/>
        <sz val="11"/>
        <color theme="1"/>
        <rFont val="Calibri"/>
        <family val="2"/>
        <scheme val="minor"/>
      </rPr>
      <t>linear relationship</t>
    </r>
    <r>
      <rPr>
        <sz val="11"/>
        <color theme="1"/>
        <rFont val="Calibri"/>
        <family val="2"/>
        <scheme val="minor"/>
      </rPr>
      <t xml:space="preserve"> between two continuous and normally distributed variables.</t>
    </r>
  </si>
  <si>
    <r>
      <t xml:space="preserve">It is calculated using the actual values of the variables and indicates both the </t>
    </r>
    <r>
      <rPr>
        <b/>
        <sz val="11"/>
        <color theme="1"/>
        <rFont val="Calibri"/>
        <family val="2"/>
        <scheme val="minor"/>
      </rPr>
      <t>strength and direction</t>
    </r>
    <r>
      <rPr>
        <sz val="11"/>
        <color theme="1"/>
        <rFont val="Calibri"/>
        <family val="2"/>
        <scheme val="minor"/>
      </rPr>
      <t xml:space="preserve"> of the linear relationship. However,</t>
    </r>
  </si>
  <si>
    <t>, it is sensitive to outliers and may not accurately reflect relationships that are non-linear.</t>
  </si>
  <si>
    <t>Spearman's Correlation</t>
  </si>
  <si>
    <r>
      <t xml:space="preserve">Spearman’s rank correlation coefficient, on the other hand, measures the </t>
    </r>
    <r>
      <rPr>
        <b/>
        <sz val="11"/>
        <color theme="1"/>
        <rFont val="Calibri"/>
        <family val="2"/>
        <scheme val="minor"/>
      </rPr>
      <t>monotonic relationship</t>
    </r>
    <r>
      <rPr>
        <sz val="11"/>
        <color theme="1"/>
        <rFont val="Calibri"/>
        <family val="2"/>
        <scheme val="minor"/>
      </rPr>
      <t xml:space="preserve"> between variables based on their ranks rather than actual values.</t>
    </r>
  </si>
  <si>
    <r>
      <t xml:space="preserve">It is suitable for </t>
    </r>
    <r>
      <rPr>
        <b/>
        <sz val="11"/>
        <color theme="1"/>
        <rFont val="Calibri"/>
        <family val="2"/>
        <scheme val="minor"/>
      </rPr>
      <t>ordinal data</t>
    </r>
    <r>
      <rPr>
        <sz val="11"/>
        <color theme="1"/>
        <rFont val="Calibri"/>
        <family val="2"/>
        <scheme val="minor"/>
      </rPr>
      <t xml:space="preserve">, non-normal distributions, or datasets with outliers. Spearman’s correlation is preferred when the relationship is </t>
    </r>
    <r>
      <rPr>
        <b/>
        <sz val="11"/>
        <color theme="1"/>
        <rFont val="Calibri"/>
        <family val="2"/>
        <scheme val="minor"/>
      </rPr>
      <t>non-linear</t>
    </r>
  </si>
  <si>
    <r>
      <t>but monotonic</t>
    </r>
    <r>
      <rPr>
        <sz val="11"/>
        <color theme="1"/>
        <rFont val="Calibri"/>
        <family val="2"/>
        <scheme val="minor"/>
      </rPr>
      <t>, or when the data contains extreme values, making it more flexible than Pearson’s in many practical situations.</t>
    </r>
  </si>
  <si>
    <t>When to Prefer Spearman’s Correlation:</t>
  </si>
  <si>
    <t>1. Ordinal Data:</t>
  </si>
  <si>
    <t>When data is ranked or ordinal (e.g., survey ratings: 1 = poor, 5 = excellent), Pearson’s correlation is not appropriate. Spearman’s works well.</t>
  </si>
  <si>
    <t>2. Non-Linear but Monotonic Relationships:</t>
  </si>
  <si>
    <t>If variables increase together but not at a constant rate (e.g., as age increases, income increases but not linearly), Spearman’s correlation captures the trend.</t>
  </si>
  <si>
    <t>3. Presence of Outliers:</t>
  </si>
  <si>
    <t>Spearman’s correlation is more robust to outliers because ranks reduce the effect of extreme values.</t>
  </si>
  <si>
    <t>4. Non-Normal Data:</t>
  </si>
  <si>
    <t>If the data is skewed or not normally distributed, Spearman’s correlation is preferred over Pearson’s, which requires normality.</t>
  </si>
  <si>
    <t>Q5</t>
  </si>
  <si>
    <t>If the correlation coefficient between two variables X and Y is 0.85, interpret this value in context. Can you infer causation from this value? Why or why not?</t>
  </si>
  <si>
    <t>Strength and Direction of Relationship:</t>
  </si>
  <si>
    <r>
      <t xml:space="preserve">A correlation coefficient of </t>
    </r>
    <r>
      <rPr>
        <b/>
        <sz val="11"/>
        <color theme="1"/>
        <rFont val="Calibri"/>
        <family val="2"/>
        <scheme val="minor"/>
      </rPr>
      <t>0.85</t>
    </r>
    <r>
      <rPr>
        <sz val="11"/>
        <color theme="1"/>
        <rFont val="Calibri"/>
        <family val="2"/>
        <scheme val="minor"/>
      </rPr>
      <t xml:space="preserve"> indicates a </t>
    </r>
    <r>
      <rPr>
        <b/>
        <sz val="11"/>
        <color theme="1"/>
        <rFont val="Calibri"/>
        <family val="2"/>
        <scheme val="minor"/>
      </rPr>
      <t>strong positive relationship</t>
    </r>
    <r>
      <rPr>
        <sz val="11"/>
        <color theme="1"/>
        <rFont val="Calibri"/>
        <family val="2"/>
        <scheme val="minor"/>
      </rPr>
      <t xml:space="preserve"> between X and Y, meaning as X increases, Y also tends to increase. The closer the value is to +1, the stronger the positive association.</t>
    </r>
  </si>
  <si>
    <t>Interpretation of Magnitude:</t>
  </si>
  <si>
    <t>Since 0.85 is near +1, it shows that the variables move together consistently, and their relationship is quite strong.</t>
  </si>
  <si>
    <t>Correlation ≠ Causation:</t>
  </si>
  <si>
    <r>
      <t xml:space="preserve">A high correlation does </t>
    </r>
    <r>
      <rPr>
        <b/>
        <sz val="11"/>
        <color theme="1"/>
        <rFont val="Calibri"/>
        <family val="2"/>
        <scheme val="minor"/>
      </rPr>
      <t>not mean one variable causes the other</t>
    </r>
    <r>
      <rPr>
        <sz val="11"/>
        <color theme="1"/>
        <rFont val="Calibri"/>
        <family val="2"/>
        <scheme val="minor"/>
      </rPr>
      <t>. Correlation only measures the direction and strength of the association.</t>
    </r>
  </si>
  <si>
    <t>Possible Influencing Factors:</t>
  </si>
  <si>
    <r>
      <t xml:space="preserve">Other variables, known as </t>
    </r>
    <r>
      <rPr>
        <b/>
        <sz val="11"/>
        <color theme="1"/>
        <rFont val="Calibri"/>
        <family val="2"/>
        <scheme val="minor"/>
      </rPr>
      <t>lurking or confounding variables</t>
    </r>
    <r>
      <rPr>
        <sz val="11"/>
        <color theme="1"/>
        <rFont val="Calibri"/>
        <family val="2"/>
        <scheme val="minor"/>
      </rPr>
      <t>, could be affecting both X and Y, or the relationship could occur by chance.</t>
    </r>
  </si>
  <si>
    <t>Requirement for Causation:</t>
  </si>
  <si>
    <r>
      <t xml:space="preserve">To infer causation, one would need </t>
    </r>
    <r>
      <rPr>
        <b/>
        <sz val="11"/>
        <color theme="1"/>
        <rFont val="Calibri"/>
        <family val="2"/>
        <scheme val="minor"/>
      </rPr>
      <t>controlled experiments, causal analysis, or longitudinal studies</t>
    </r>
    <r>
      <rPr>
        <sz val="11"/>
        <color theme="1"/>
        <rFont val="Calibri"/>
        <family val="2"/>
        <scheme val="minor"/>
      </rPr>
      <t>, not just correlation.</t>
    </r>
  </si>
  <si>
    <t>Q6</t>
  </si>
  <si>
    <t>Using the dataset below, calculate the covariance between X and Y.</t>
  </si>
  <si>
    <t>X</t>
  </si>
  <si>
    <t>Y</t>
  </si>
  <si>
    <t>Column1</t>
  </si>
  <si>
    <t>Column2</t>
  </si>
  <si>
    <t>Column3</t>
  </si>
  <si>
    <t>Column4</t>
  </si>
  <si>
    <t>Column5</t>
  </si>
  <si>
    <r>
      <t xml:space="preserve">Let’s calculate the </t>
    </r>
    <r>
      <rPr>
        <b/>
        <sz val="11"/>
        <color theme="1"/>
        <rFont val="Calibri"/>
        <family val="2"/>
        <scheme val="minor"/>
      </rPr>
      <t>covariance between X and Y step by step</t>
    </r>
    <r>
      <rPr>
        <sz val="11"/>
        <color theme="1"/>
        <rFont val="Calibri"/>
        <family val="2"/>
        <scheme val="minor"/>
      </rPr>
      <t xml:space="preserve"> using your dataset.</t>
    </r>
  </si>
  <si>
    <t>Step 1: Write down the data</t>
  </si>
  <si>
    <t>| X | 2 | 4 | 6 | 8 |</t>
  </si>
  <si>
    <t>| Y | 3 | 7 | 5 | 10 |</t>
  </si>
  <si>
    <r>
      <t xml:space="preserve">Number of observations: </t>
    </r>
    <r>
      <rPr>
        <b/>
        <sz val="11"/>
        <color theme="1"/>
        <rFont val="Calibri"/>
        <family val="2"/>
        <scheme val="minor"/>
      </rPr>
      <t>n = 4</t>
    </r>
  </si>
  <si>
    <t>Step 2: Calculate the means of X and Y</t>
  </si>
  <si>
    <t>X= 2+4+6+8/4</t>
  </si>
  <si>
    <t>Y= 3+7+5+10/4</t>
  </si>
  <si>
    <t>Step 2: Use Excel formula for covariance</t>
  </si>
  <si>
    <r>
      <t xml:space="preserve">1. For </t>
    </r>
    <r>
      <rPr>
        <b/>
        <sz val="11"/>
        <color theme="1"/>
        <rFont val="Calibri"/>
        <family val="2"/>
        <scheme val="minor"/>
      </rPr>
      <t>sample covariance</t>
    </r>
    <r>
      <rPr>
        <sz val="11"/>
        <color theme="1"/>
        <rFont val="Calibri"/>
        <family val="2"/>
        <scheme val="minor"/>
      </rPr>
      <t xml:space="preserve"> (most common), use:</t>
    </r>
  </si>
  <si>
    <r>
      <t xml:space="preserve">2. For </t>
    </r>
    <r>
      <rPr>
        <b/>
        <sz val="11"/>
        <color theme="1"/>
        <rFont val="Calibri"/>
        <family val="2"/>
        <scheme val="minor"/>
      </rPr>
      <t>population covariance</t>
    </r>
    <r>
      <rPr>
        <sz val="11"/>
        <color theme="1"/>
        <rFont val="Calibri"/>
        <family val="2"/>
        <scheme val="minor"/>
      </rPr>
      <t>, use:</t>
    </r>
  </si>
  <si>
    <t>Step 3: Result</t>
  </si>
  <si>
    <t>Using this dataset, Excel will return:</t>
  </si>
  <si>
    <t>Cov(X,Y) ≈ 6.33</t>
  </si>
  <si>
    <t>Q7</t>
  </si>
  <si>
    <t>Compute the Pearson correlation coefficient between variables A and B</t>
  </si>
  <si>
    <t>A</t>
  </si>
  <si>
    <t>B</t>
  </si>
  <si>
    <t>Column6</t>
  </si>
  <si>
    <t>Step 2: Use Excel formula for correlation</t>
  </si>
  <si>
    <r>
      <t xml:space="preserve">For </t>
    </r>
    <r>
      <rPr>
        <b/>
        <sz val="11"/>
        <color theme="1"/>
        <rFont val="Calibri"/>
        <family val="2"/>
        <scheme val="minor"/>
      </rPr>
      <t>Pearson correlation</t>
    </r>
    <r>
      <rPr>
        <sz val="11"/>
        <color theme="1"/>
        <rFont val="Calibri"/>
        <family val="2"/>
        <scheme val="minor"/>
      </rPr>
      <t>, use:</t>
    </r>
  </si>
  <si>
    <t>Step 1: Use Excel formula for correlation</t>
  </si>
  <si>
    <t>Excel will return:</t>
  </si>
  <si>
    <t>Q8</t>
  </si>
  <si>
    <t>The following table shows heights (in cm) and weights (in kg) of 5 students.  Find the correlation coefficient between Height and Weight.</t>
  </si>
  <si>
    <t>Height</t>
  </si>
  <si>
    <t>Weight</t>
  </si>
  <si>
    <t>Excel will give:</t>
  </si>
  <si>
    <t>Step 2: Result</t>
  </si>
  <si>
    <t>≈0.981</t>
  </si>
  <si>
    <r>
      <t xml:space="preserve">There is a </t>
    </r>
    <r>
      <rPr>
        <b/>
        <sz val="11"/>
        <color theme="1"/>
        <rFont val="Calibri"/>
        <family val="2"/>
        <scheme val="minor"/>
      </rPr>
      <t>very strong positive correlation</t>
    </r>
    <r>
      <rPr>
        <sz val="11"/>
        <color theme="1"/>
        <rFont val="Calibri"/>
        <family val="2"/>
        <scheme val="minor"/>
      </rPr>
      <t xml:space="preserve"> between height and weight, meaning taller students tend to weigh more.</t>
    </r>
  </si>
  <si>
    <t>Q9</t>
  </si>
  <si>
    <t>Given the dataset below, determine whether there is a positive or negative correlation between X and Y.  (No need for exact calculation, just reasoning.)</t>
  </si>
  <si>
    <t>Q10</t>
  </si>
  <si>
    <t>Two investment portfolios have the following returns (%) over 5 years. Compute the covariance and correlation coefficient, and interpret whether the portfolios move together.</t>
  </si>
  <si>
    <t>Year</t>
  </si>
  <si>
    <t>Portfolio A</t>
  </si>
  <si>
    <t>Portfolio B</t>
  </si>
  <si>
    <r>
      <t xml:space="preserve">Excel will return a </t>
    </r>
    <r>
      <rPr>
        <b/>
        <sz val="11"/>
        <color theme="1"/>
        <rFont val="Calibri"/>
        <family val="2"/>
        <scheme val="minor"/>
      </rPr>
      <t>negative value</t>
    </r>
    <r>
      <rPr>
        <sz val="11"/>
        <color theme="1"/>
        <rFont val="Calibri"/>
        <family val="2"/>
        <scheme val="minor"/>
      </rPr>
      <t xml:space="preserve"> (≈ -0.991),</t>
    </r>
  </si>
  <si>
    <r>
      <t xml:space="preserve">This indicates a </t>
    </r>
    <r>
      <rPr>
        <b/>
        <sz val="11"/>
        <color theme="1"/>
        <rFont val="Calibri"/>
        <family val="2"/>
        <scheme val="minor"/>
      </rPr>
      <t>strong negative correlation</t>
    </r>
    <r>
      <rPr>
        <sz val="11"/>
        <color theme="1"/>
        <rFont val="Calibri"/>
        <family val="2"/>
        <scheme val="minor"/>
      </rPr>
      <t>.</t>
    </r>
  </si>
  <si>
    <t>Since the correlation coefficient is negative, X and Y move in opposite directions — as X increases, Y decreases.</t>
  </si>
  <si>
    <r>
      <t xml:space="preserve">For </t>
    </r>
    <r>
      <rPr>
        <b/>
        <sz val="11"/>
        <color theme="1"/>
        <rFont val="Calibri"/>
        <family val="2"/>
        <scheme val="minor"/>
      </rPr>
      <t>sample covariance</t>
    </r>
    <r>
      <rPr>
        <sz val="11"/>
        <color theme="1"/>
        <rFont val="Calibri"/>
        <family val="2"/>
        <scheme val="minor"/>
      </rPr>
      <t>:</t>
    </r>
  </si>
  <si>
    <t>Step 1: Covariance Formula in Excel</t>
  </si>
  <si>
    <r>
      <t xml:space="preserve">For </t>
    </r>
    <r>
      <rPr>
        <b/>
        <sz val="11"/>
        <color theme="1"/>
        <rFont val="Calibri"/>
        <family val="2"/>
        <scheme val="minor"/>
      </rPr>
      <t>population covariance</t>
    </r>
    <r>
      <rPr>
        <sz val="11"/>
        <color theme="1"/>
        <rFont val="Calibri"/>
        <family val="2"/>
        <scheme val="minor"/>
      </rPr>
      <t xml:space="preserve"> (if treating all data as population):</t>
    </r>
  </si>
  <si>
    <r>
      <t xml:space="preserve">For </t>
    </r>
    <r>
      <rPr>
        <b/>
        <sz val="11"/>
        <color theme="1"/>
        <rFont val="Calibri"/>
        <family val="2"/>
        <scheme val="minor"/>
      </rPr>
      <t>Pearson correlation coefficient</t>
    </r>
    <r>
      <rPr>
        <sz val="11"/>
        <color theme="1"/>
        <rFont val="Calibri"/>
        <family val="2"/>
        <scheme val="minor"/>
      </rPr>
      <t>:</t>
    </r>
  </si>
  <si>
    <t>Step 2: Correlation Formula in Excel</t>
  </si>
  <si>
    <r>
      <t xml:space="preserve">If covariance and correlation are </t>
    </r>
    <r>
      <rPr>
        <b/>
        <sz val="11"/>
        <color theme="1"/>
        <rFont val="Calibri"/>
        <family val="2"/>
        <scheme val="minor"/>
      </rPr>
      <t>positive</t>
    </r>
    <r>
      <rPr>
        <sz val="11"/>
        <color theme="1"/>
        <rFont val="Calibri"/>
        <family val="2"/>
        <scheme val="minor"/>
      </rPr>
      <t xml:space="preserve">, the portfolios </t>
    </r>
    <r>
      <rPr>
        <b/>
        <sz val="11"/>
        <color theme="1"/>
        <rFont val="Calibri"/>
        <family val="2"/>
        <scheme val="minor"/>
      </rPr>
      <t>move together</t>
    </r>
    <r>
      <rPr>
        <sz val="11"/>
        <color theme="1"/>
        <rFont val="Calibri"/>
        <family val="2"/>
        <scheme val="minor"/>
      </rPr>
      <t xml:space="preserve"> (when one increases, the other tends to increase).</t>
    </r>
  </si>
  <si>
    <r>
      <t xml:space="preserve">If negative, they move in </t>
    </r>
    <r>
      <rPr>
        <b/>
        <sz val="11"/>
        <color theme="1"/>
        <rFont val="Calibri"/>
        <family val="2"/>
        <scheme val="minor"/>
      </rPr>
      <t>opposite directions</t>
    </r>
    <r>
      <rPr>
        <sz val="11"/>
        <color theme="1"/>
        <rFont val="Calibri"/>
        <family val="2"/>
        <scheme val="minor"/>
      </rPr>
      <t>.</t>
    </r>
  </si>
  <si>
    <t>Step 3: Interpretation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</si>
</sst>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1" fillId="2" borderId="0" xfId="0" applyFont="1" applyFill="1"/>
    <xf numFmtId="0" fontId="0" fillId="2" borderId="0" xfId="0" applyFill="1"/>
    <xf numFmtId="0" fontId="1" fillId="2" borderId="0" xfId="0" applyFont="1" applyFill="1" applyAlignment="1">
      <alignment horizontal="left" vertical="center" indent="1"/>
    </xf>
    <xf numFmtId="0" fontId="2" fillId="2" borderId="0" xfId="0" applyFont="1" applyFill="1" applyAlignment="1">
      <alignment vertical="center"/>
    </xf>
    <xf numFmtId="0" fontId="0" fillId="0" borderId="0" xfId="0" applyAlignment="1">
      <alignment horizontal="center"/>
    </xf>
    <xf numFmtId="0" fontId="1" fillId="0" borderId="0" xfId="0" applyFont="1" applyAlignment="1">
      <alignment horizontal="center"/>
    </xf>
    <xf numFmtId="0" fontId="1" fillId="2" borderId="0" xfId="0" applyFont="1" applyFill="1" applyAlignment="1">
      <alignment vertical="center"/>
    </xf>
    <xf numFmtId="0" fontId="0" fillId="2" borderId="0" xfId="0" applyFont="1" applyFill="1"/>
    <xf numFmtId="0" fontId="1" fillId="0" borderId="0" xfId="0" applyFont="1" applyAlignment="1">
      <alignment vertical="center"/>
    </xf>
    <xf numFmtId="0" fontId="0" fillId="0" borderId="0" xfId="0" applyFont="1"/>
    <xf numFmtId="0" fontId="0" fillId="3" borderId="0" xfId="0" applyFill="1" applyAlignment="1">
      <alignment horizontal="center"/>
    </xf>
    <xf numFmtId="0" fontId="0" fillId="0" borderId="0" xfId="0" applyFont="1" applyAlignment="1">
      <alignment horizontal="center"/>
    </xf>
    <xf numFmtId="0" fontId="0" fillId="3" borderId="0" xfId="0" applyFill="1"/>
  </cellXfs>
  <cellStyles count="1">
    <cellStyle name="Normal" xfId="0" builtinId="0"/>
  </cellStyles>
  <dxfs count="40">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id="1" name="Table1" displayName="Table1" ref="B4:F6" totalsRowShown="0" headerRowDxfId="34" dataDxfId="33">
  <autoFilter ref="B4:F6"/>
  <tableColumns count="5">
    <tableColumn id="1" name="Column1" dataDxfId="39"/>
    <tableColumn id="2" name="Column2" dataDxfId="38"/>
    <tableColumn id="3" name="Column3" dataDxfId="37"/>
    <tableColumn id="4" name="Column4" dataDxfId="36"/>
    <tableColumn id="5" name="Column5" dataDxfId="35"/>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E13:F19" totalsRowShown="0" headerRowDxfId="29" dataDxfId="30">
  <autoFilter ref="E13:F19"/>
  <tableColumns count="2">
    <tableColumn id="1" name="Column1" dataDxfId="32"/>
    <tableColumn id="2" name="Column2" dataDxfId="31"/>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B4:G6" totalsRowShown="0" headerRowDxfId="21" dataDxfId="22">
  <autoFilter ref="B4:G6"/>
  <tableColumns count="6">
    <tableColumn id="1" name="Column1" dataDxfId="28"/>
    <tableColumn id="2" name="Column2" dataDxfId="27"/>
    <tableColumn id="3" name="Column3" dataDxfId="26"/>
    <tableColumn id="4" name="Column4" dataDxfId="25"/>
    <tableColumn id="5" name="Column5" dataDxfId="24"/>
    <tableColumn id="6" name="Column6" dataDxfId="23"/>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B4:G6" totalsRowShown="0" headerRowDxfId="13" dataDxfId="14">
  <autoFilter ref="B4:G6"/>
  <tableColumns count="6">
    <tableColumn id="1" name="Column1" dataDxfId="20"/>
    <tableColumn id="2" name="Column2" dataDxfId="19"/>
    <tableColumn id="3" name="Column3" dataDxfId="18"/>
    <tableColumn id="4" name="Column4" dataDxfId="17"/>
    <tableColumn id="5" name="Column5" dataDxfId="16"/>
    <tableColumn id="6" name="Column6" dataDxfId="15"/>
  </tableColumns>
  <tableStyleInfo name="TableStyleMedium2" showFirstColumn="0" showLastColumn="0" showRowStripes="1" showColumnStripes="0"/>
</table>
</file>

<file path=xl/tables/table5.xml><?xml version="1.0" encoding="utf-8"?>
<table xmlns="http://schemas.openxmlformats.org/spreadsheetml/2006/main" id="5" name="Table46" displayName="Table46" ref="B4:G6" totalsRowShown="0" headerRowDxfId="12" dataDxfId="11">
  <autoFilter ref="B4:G6"/>
  <tableColumns count="6">
    <tableColumn id="1" name="Column1" dataDxfId="10"/>
    <tableColumn id="2" name="Column2" dataDxfId="9"/>
    <tableColumn id="3" name="Column3" dataDxfId="8"/>
    <tableColumn id="4" name="Column4" dataDxfId="7"/>
    <tableColumn id="5" name="Column5" dataDxfId="6"/>
    <tableColumn id="6" name="Column6" dataDxfId="5"/>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B4:D11" totalsRowShown="0" headerRowDxfId="0" dataDxfId="1">
  <autoFilter ref="B4:D11"/>
  <tableColumns count="3">
    <tableColumn id="1" name="Column1" dataDxfId="4"/>
    <tableColumn id="2" name="Column2" dataDxfId="3"/>
    <tableColumn id="3" name="Column3"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E10" sqref="E10"/>
    </sheetView>
  </sheetViews>
  <sheetFormatPr defaultRowHeight="15" x14ac:dyDescent="0.25"/>
  <sheetData>
    <row r="1" spans="1:10" x14ac:dyDescent="0.25">
      <c r="A1" s="1" t="s">
        <v>0</v>
      </c>
      <c r="B1" s="1"/>
      <c r="C1" s="1"/>
      <c r="D1" s="1"/>
      <c r="E1" s="1"/>
      <c r="F1" s="1"/>
      <c r="G1" s="1"/>
      <c r="H1" s="1"/>
      <c r="I1" s="1"/>
      <c r="J1" s="1"/>
    </row>
    <row r="2" spans="1:10" x14ac:dyDescent="0.25">
      <c r="A2" s="1" t="s">
        <v>1</v>
      </c>
      <c r="B2" s="1"/>
      <c r="C2" s="1"/>
      <c r="D2" s="1"/>
      <c r="E2" s="1"/>
      <c r="F2" s="1"/>
      <c r="G2" s="1"/>
      <c r="H2" s="1"/>
      <c r="I2" s="1"/>
      <c r="J2" s="1"/>
    </row>
    <row r="4" spans="1:10" x14ac:dyDescent="0.25">
      <c r="A4" s="1" t="s">
        <v>2</v>
      </c>
    </row>
    <row r="5" spans="1:10" x14ac:dyDescent="0.25">
      <c r="A5" s="2"/>
    </row>
    <row r="6" spans="1:10" x14ac:dyDescent="0.25">
      <c r="A6" s="2" t="s">
        <v>3</v>
      </c>
    </row>
    <row r="7" spans="1:10" x14ac:dyDescent="0.25">
      <c r="A7" s="2" t="s">
        <v>4</v>
      </c>
    </row>
    <row r="8" spans="1:10" x14ac:dyDescent="0.25">
      <c r="A8" s="2" t="s">
        <v>5</v>
      </c>
    </row>
    <row r="10" spans="1:10" x14ac:dyDescent="0.25">
      <c r="A10" s="4" t="s">
        <v>6</v>
      </c>
      <c r="B10" s="5"/>
      <c r="C10" s="5"/>
      <c r="D10" s="5"/>
      <c r="E10" s="5"/>
      <c r="F10" s="5"/>
      <c r="G10" s="5"/>
      <c r="H10" s="5"/>
      <c r="I10" s="5"/>
    </row>
    <row r="11" spans="1:10" x14ac:dyDescent="0.25">
      <c r="A11" s="2"/>
    </row>
    <row r="12" spans="1:10" x14ac:dyDescent="0.25">
      <c r="A12" s="3" t="s">
        <v>7</v>
      </c>
    </row>
    <row r="13" spans="1:10" x14ac:dyDescent="0.25">
      <c r="A13" s="2" t="s">
        <v>8</v>
      </c>
    </row>
    <row r="14" spans="1:10" x14ac:dyDescent="0.25">
      <c r="A14" s="1" t="s">
        <v>2</v>
      </c>
    </row>
    <row r="15" spans="1:10" x14ac:dyDescent="0.25">
      <c r="A15" s="2" t="s">
        <v>3</v>
      </c>
    </row>
    <row r="16" spans="1:10" x14ac:dyDescent="0.25">
      <c r="A16" s="2" t="s">
        <v>4</v>
      </c>
    </row>
    <row r="17" spans="1:9" x14ac:dyDescent="0.25">
      <c r="A17" s="2" t="s">
        <v>5</v>
      </c>
    </row>
    <row r="19" spans="1:9" x14ac:dyDescent="0.25">
      <c r="A19" s="4" t="s">
        <v>6</v>
      </c>
      <c r="B19" s="5"/>
      <c r="C19" s="5"/>
      <c r="D19" s="5"/>
      <c r="E19" s="5"/>
      <c r="F19" s="5"/>
      <c r="G19" s="5"/>
      <c r="H19" s="5"/>
      <c r="I19" s="5"/>
    </row>
    <row r="20" spans="1:9" x14ac:dyDescent="0.25">
      <c r="A20" s="2"/>
    </row>
    <row r="21" spans="1:9" x14ac:dyDescent="0.25">
      <c r="A21" s="3" t="s">
        <v>7</v>
      </c>
    </row>
    <row r="22" spans="1:9" x14ac:dyDescent="0.25">
      <c r="A22" s="2" t="s">
        <v>8</v>
      </c>
    </row>
    <row r="23" spans="1:9" x14ac:dyDescent="0.25">
      <c r="A2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E7" sqref="E7"/>
    </sheetView>
  </sheetViews>
  <sheetFormatPr defaultRowHeight="15" x14ac:dyDescent="0.25"/>
  <sheetData>
    <row r="1" spans="1:11" x14ac:dyDescent="0.25">
      <c r="A1" s="1" t="s">
        <v>10</v>
      </c>
      <c r="B1" s="1"/>
      <c r="C1" s="1"/>
      <c r="D1" s="1"/>
      <c r="E1" s="1"/>
      <c r="F1" s="1"/>
      <c r="G1" s="1"/>
      <c r="H1" s="1"/>
      <c r="I1" s="1"/>
      <c r="J1" s="1"/>
      <c r="K1" s="1"/>
    </row>
    <row r="2" spans="1:11" x14ac:dyDescent="0.25">
      <c r="A2" s="1" t="s">
        <v>12</v>
      </c>
      <c r="B2" s="1"/>
      <c r="C2" s="1"/>
      <c r="D2" s="1"/>
      <c r="E2" s="1"/>
      <c r="F2" s="1"/>
      <c r="G2" s="1"/>
      <c r="H2" s="1"/>
      <c r="I2" s="1"/>
      <c r="J2" s="1"/>
      <c r="K2" s="1"/>
    </row>
    <row r="4" spans="1:11" x14ac:dyDescent="0.25">
      <c r="A4" s="6" t="s">
        <v>13</v>
      </c>
      <c r="B4" s="5"/>
      <c r="C4" s="5"/>
      <c r="D4" s="5"/>
    </row>
    <row r="5" spans="1:11" x14ac:dyDescent="0.25">
      <c r="A5" s="2" t="s">
        <v>14</v>
      </c>
    </row>
    <row r="6" spans="1:11" x14ac:dyDescent="0.25">
      <c r="A6" s="2"/>
    </row>
    <row r="7" spans="1:11" x14ac:dyDescent="0.25">
      <c r="A7" s="6" t="s">
        <v>15</v>
      </c>
      <c r="B7" s="5"/>
      <c r="C7" s="5"/>
      <c r="D7" s="5"/>
    </row>
    <row r="8" spans="1:11" x14ac:dyDescent="0.25">
      <c r="A8" s="2" t="s">
        <v>16</v>
      </c>
    </row>
    <row r="9" spans="1:11" x14ac:dyDescent="0.25">
      <c r="A9" s="2"/>
    </row>
    <row r="10" spans="1:11" x14ac:dyDescent="0.25">
      <c r="A10" s="6" t="s">
        <v>17</v>
      </c>
      <c r="B10" s="5"/>
      <c r="C10" s="5"/>
    </row>
    <row r="11" spans="1:11" x14ac:dyDescent="0.25">
      <c r="A11"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topLeftCell="A11" workbookViewId="0">
      <selection activeCell="A21" sqref="A21:XFD21"/>
    </sheetView>
  </sheetViews>
  <sheetFormatPr defaultRowHeight="15" x14ac:dyDescent="0.25"/>
  <sheetData>
    <row r="1" spans="1:14" x14ac:dyDescent="0.25">
      <c r="A1" s="1" t="s">
        <v>11</v>
      </c>
      <c r="B1" s="1"/>
      <c r="C1" s="1"/>
      <c r="D1" s="1"/>
      <c r="E1" s="1"/>
      <c r="F1" s="1"/>
      <c r="G1" s="1"/>
      <c r="H1" s="1"/>
      <c r="I1" s="1"/>
      <c r="J1" s="1"/>
      <c r="K1" s="1"/>
      <c r="L1" s="1"/>
      <c r="M1" s="1"/>
      <c r="N1" s="1"/>
    </row>
    <row r="2" spans="1:14" x14ac:dyDescent="0.25">
      <c r="A2" s="1" t="s">
        <v>19</v>
      </c>
      <c r="B2" s="1"/>
      <c r="C2" s="1"/>
      <c r="D2" s="1"/>
      <c r="E2" s="1"/>
      <c r="F2" s="1"/>
      <c r="G2" s="1"/>
      <c r="H2" s="1"/>
      <c r="I2" s="1"/>
      <c r="J2" s="1"/>
      <c r="K2" s="1"/>
      <c r="L2" s="1"/>
      <c r="M2" s="1"/>
      <c r="N2" s="1"/>
    </row>
    <row r="4" spans="1:14" x14ac:dyDescent="0.25">
      <c r="A4" s="4" t="s">
        <v>20</v>
      </c>
      <c r="B4" s="5"/>
      <c r="C4" s="5"/>
      <c r="D4" s="5"/>
      <c r="E4" s="5"/>
      <c r="F4" s="5"/>
      <c r="G4" s="5"/>
      <c r="H4" s="5"/>
    </row>
    <row r="6" spans="1:14" x14ac:dyDescent="0.25">
      <c r="A6" t="s">
        <v>21</v>
      </c>
    </row>
    <row r="7" spans="1:14" x14ac:dyDescent="0.25">
      <c r="A7" s="3" t="s">
        <v>22</v>
      </c>
    </row>
    <row r="8" spans="1:14" x14ac:dyDescent="0.25">
      <c r="A8" s="2" t="s">
        <v>23</v>
      </c>
    </row>
    <row r="9" spans="1:14" x14ac:dyDescent="0.25">
      <c r="A9" s="3" t="s">
        <v>24</v>
      </c>
    </row>
    <row r="10" spans="1:14" x14ac:dyDescent="0.25">
      <c r="A10" s="2" t="s">
        <v>25</v>
      </c>
    </row>
    <row r="11" spans="1:14" x14ac:dyDescent="0.25">
      <c r="A11" s="3" t="s">
        <v>26</v>
      </c>
    </row>
    <row r="12" spans="1:14" x14ac:dyDescent="0.25">
      <c r="A12" s="2" t="s">
        <v>27</v>
      </c>
    </row>
    <row r="13" spans="1:14" x14ac:dyDescent="0.25">
      <c r="A13" s="3" t="s">
        <v>28</v>
      </c>
    </row>
    <row r="14" spans="1:14" x14ac:dyDescent="0.25">
      <c r="A14" s="2" t="s">
        <v>29</v>
      </c>
    </row>
    <row r="15" spans="1:14" x14ac:dyDescent="0.25">
      <c r="A15" s="3" t="s">
        <v>30</v>
      </c>
    </row>
    <row r="16" spans="1:14" x14ac:dyDescent="0.25">
      <c r="A16" s="2" t="s">
        <v>31</v>
      </c>
    </row>
    <row r="18" spans="1:5" x14ac:dyDescent="0.25">
      <c r="A18" s="4" t="s">
        <v>32</v>
      </c>
      <c r="B18" s="5"/>
      <c r="C18" s="5"/>
      <c r="D18" s="5"/>
      <c r="E18" s="5"/>
    </row>
    <row r="20" spans="1:5" x14ac:dyDescent="0.25">
      <c r="A20" t="s">
        <v>33</v>
      </c>
    </row>
    <row r="21" spans="1:5" x14ac:dyDescent="0.25">
      <c r="A21" s="3" t="s">
        <v>34</v>
      </c>
    </row>
    <row r="22" spans="1:5" x14ac:dyDescent="0.25">
      <c r="A22" s="2" t="s">
        <v>35</v>
      </c>
    </row>
    <row r="23" spans="1:5" x14ac:dyDescent="0.25">
      <c r="A23" s="3" t="s">
        <v>36</v>
      </c>
    </row>
    <row r="24" spans="1:5" x14ac:dyDescent="0.25">
      <c r="A24" s="2" t="s">
        <v>37</v>
      </c>
    </row>
    <row r="25" spans="1:5" x14ac:dyDescent="0.25">
      <c r="A25" s="3" t="s">
        <v>38</v>
      </c>
    </row>
    <row r="26" spans="1:5" x14ac:dyDescent="0.25">
      <c r="A26" s="2" t="s">
        <v>39</v>
      </c>
    </row>
    <row r="27" spans="1:5" x14ac:dyDescent="0.25">
      <c r="A27" s="3" t="s">
        <v>40</v>
      </c>
    </row>
    <row r="28" spans="1:5" x14ac:dyDescent="0.25">
      <c r="A28" s="2"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selection activeCell="D26" sqref="D26"/>
    </sheetView>
  </sheetViews>
  <sheetFormatPr defaultRowHeight="15" x14ac:dyDescent="0.25"/>
  <sheetData>
    <row r="1" spans="1:16" x14ac:dyDescent="0.25">
      <c r="A1" s="1" t="s">
        <v>42</v>
      </c>
      <c r="B1" s="1"/>
      <c r="C1" s="1"/>
      <c r="D1" s="1"/>
      <c r="E1" s="1"/>
      <c r="F1" s="1"/>
      <c r="G1" s="1"/>
      <c r="H1" s="1"/>
      <c r="I1" s="1"/>
      <c r="J1" s="1"/>
      <c r="K1" s="1"/>
      <c r="L1" s="1"/>
      <c r="M1" s="1"/>
      <c r="N1" s="1"/>
      <c r="O1" s="1"/>
      <c r="P1" s="1"/>
    </row>
    <row r="2" spans="1:16" x14ac:dyDescent="0.25">
      <c r="A2" s="1" t="s">
        <v>43</v>
      </c>
      <c r="B2" s="1"/>
      <c r="C2" s="1"/>
      <c r="D2" s="1"/>
      <c r="E2" s="1"/>
      <c r="F2" s="1"/>
      <c r="G2" s="1"/>
      <c r="H2" s="1"/>
      <c r="I2" s="1"/>
      <c r="J2" s="1"/>
      <c r="K2" s="1"/>
      <c r="L2" s="1"/>
      <c r="M2" s="1"/>
      <c r="N2" s="1"/>
      <c r="O2" s="1"/>
      <c r="P2" s="1"/>
    </row>
    <row r="4" spans="1:16" x14ac:dyDescent="0.25">
      <c r="A4" s="4" t="s">
        <v>44</v>
      </c>
      <c r="B4" s="4"/>
      <c r="C4" s="4"/>
    </row>
    <row r="5" spans="1:16" x14ac:dyDescent="0.25">
      <c r="A5" t="s">
        <v>45</v>
      </c>
    </row>
    <row r="6" spans="1:16" x14ac:dyDescent="0.25">
      <c r="A6" t="s">
        <v>46</v>
      </c>
    </row>
    <row r="7" spans="1:16" x14ac:dyDescent="0.25">
      <c r="A7" t="s">
        <v>47</v>
      </c>
    </row>
    <row r="9" spans="1:16" x14ac:dyDescent="0.25">
      <c r="A9" s="5" t="s">
        <v>48</v>
      </c>
      <c r="B9" s="5"/>
      <c r="C9" s="5"/>
    </row>
    <row r="10" spans="1:16" x14ac:dyDescent="0.25">
      <c r="A10" t="s">
        <v>49</v>
      </c>
    </row>
    <row r="11" spans="1:16" x14ac:dyDescent="0.25">
      <c r="A11" t="s">
        <v>50</v>
      </c>
    </row>
    <row r="12" spans="1:16" x14ac:dyDescent="0.25">
      <c r="A12" s="1" t="s">
        <v>51</v>
      </c>
    </row>
    <row r="14" spans="1:16" ht="18" x14ac:dyDescent="0.25">
      <c r="A14" s="7" t="s">
        <v>52</v>
      </c>
      <c r="B14" s="5"/>
      <c r="C14" s="5"/>
      <c r="D14" s="5"/>
      <c r="E14" s="5"/>
    </row>
    <row r="15" spans="1:16" x14ac:dyDescent="0.25">
      <c r="A15" s="2"/>
    </row>
    <row r="16" spans="1:16" x14ac:dyDescent="0.25">
      <c r="A16" s="3" t="s">
        <v>53</v>
      </c>
    </row>
    <row r="17" spans="1:1" x14ac:dyDescent="0.25">
      <c r="A17" s="2" t="s">
        <v>54</v>
      </c>
    </row>
    <row r="18" spans="1:1" x14ac:dyDescent="0.25">
      <c r="A18" s="3" t="s">
        <v>55</v>
      </c>
    </row>
    <row r="19" spans="1:1" x14ac:dyDescent="0.25">
      <c r="A19" s="2" t="s">
        <v>56</v>
      </c>
    </row>
    <row r="20" spans="1:1" x14ac:dyDescent="0.25">
      <c r="A20" s="3" t="s">
        <v>57</v>
      </c>
    </row>
    <row r="21" spans="1:1" x14ac:dyDescent="0.25">
      <c r="A21" s="2" t="s">
        <v>58</v>
      </c>
    </row>
    <row r="22" spans="1:1" x14ac:dyDescent="0.25">
      <c r="A22" s="3" t="s">
        <v>59</v>
      </c>
    </row>
    <row r="23" spans="1:1" x14ac:dyDescent="0.25">
      <c r="A23" s="2" t="s">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activeCell="G13" sqref="G13"/>
    </sheetView>
  </sheetViews>
  <sheetFormatPr defaultRowHeight="15" x14ac:dyDescent="0.25"/>
  <sheetData>
    <row r="1" spans="1:15" x14ac:dyDescent="0.25">
      <c r="A1" s="1" t="s">
        <v>61</v>
      </c>
      <c r="B1" s="1"/>
      <c r="C1" s="1"/>
      <c r="D1" s="1"/>
      <c r="E1" s="1"/>
      <c r="F1" s="1"/>
      <c r="G1" s="1"/>
      <c r="H1" s="1"/>
      <c r="I1" s="1"/>
      <c r="J1" s="1"/>
      <c r="K1" s="1"/>
      <c r="L1" s="1"/>
      <c r="M1" s="1"/>
      <c r="N1" s="1"/>
      <c r="O1" s="1"/>
    </row>
    <row r="2" spans="1:15" x14ac:dyDescent="0.25">
      <c r="A2" s="1" t="s">
        <v>62</v>
      </c>
      <c r="B2" s="1"/>
      <c r="C2" s="1"/>
      <c r="D2" s="1"/>
      <c r="E2" s="1"/>
      <c r="F2" s="1"/>
      <c r="G2" s="1"/>
      <c r="H2" s="1"/>
      <c r="I2" s="1"/>
      <c r="J2" s="1"/>
      <c r="K2" s="1"/>
      <c r="L2" s="1"/>
      <c r="M2" s="1"/>
      <c r="N2" s="1"/>
      <c r="O2" s="1"/>
    </row>
    <row r="4" spans="1:15" x14ac:dyDescent="0.25">
      <c r="A4" s="4" t="s">
        <v>63</v>
      </c>
      <c r="B4" s="5"/>
      <c r="C4" s="5"/>
      <c r="D4" s="5"/>
      <c r="E4" s="5"/>
    </row>
    <row r="5" spans="1:15" x14ac:dyDescent="0.25">
      <c r="A5" t="s">
        <v>64</v>
      </c>
    </row>
    <row r="7" spans="1:15" x14ac:dyDescent="0.25">
      <c r="A7" s="4" t="s">
        <v>65</v>
      </c>
      <c r="B7" s="5"/>
      <c r="C7" s="5"/>
    </row>
    <row r="8" spans="1:15" x14ac:dyDescent="0.25">
      <c r="A8" t="s">
        <v>66</v>
      </c>
    </row>
    <row r="10" spans="1:15" x14ac:dyDescent="0.25">
      <c r="A10" s="4" t="s">
        <v>67</v>
      </c>
      <c r="B10" s="5"/>
      <c r="C10" s="5"/>
    </row>
    <row r="11" spans="1:15" x14ac:dyDescent="0.25">
      <c r="A11" t="s">
        <v>68</v>
      </c>
    </row>
    <row r="13" spans="1:15" x14ac:dyDescent="0.25">
      <c r="A13" s="4" t="s">
        <v>69</v>
      </c>
      <c r="B13" s="5"/>
      <c r="C13" s="5"/>
    </row>
    <row r="14" spans="1:15" x14ac:dyDescent="0.25">
      <c r="A14" t="s">
        <v>70</v>
      </c>
    </row>
    <row r="16" spans="1:15" x14ac:dyDescent="0.25">
      <c r="A16" s="4" t="s">
        <v>71</v>
      </c>
      <c r="B16" s="5"/>
      <c r="C16" s="5"/>
    </row>
    <row r="17" spans="1:1" x14ac:dyDescent="0.25">
      <c r="A17"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selection activeCell="L13" sqref="L13"/>
    </sheetView>
  </sheetViews>
  <sheetFormatPr defaultRowHeight="15" x14ac:dyDescent="0.25"/>
  <cols>
    <col min="2" max="6" width="13.42578125" bestFit="1" customWidth="1"/>
  </cols>
  <sheetData>
    <row r="1" spans="1:6" x14ac:dyDescent="0.25">
      <c r="A1" s="1" t="s">
        <v>73</v>
      </c>
      <c r="B1" s="1"/>
      <c r="C1" s="1"/>
      <c r="D1" s="1"/>
      <c r="E1" s="1"/>
      <c r="F1" s="1"/>
    </row>
    <row r="2" spans="1:6" x14ac:dyDescent="0.25">
      <c r="A2" s="1" t="s">
        <v>74</v>
      </c>
      <c r="B2" s="1"/>
      <c r="C2" s="1"/>
      <c r="D2" s="1"/>
      <c r="E2" s="1"/>
      <c r="F2" s="1"/>
    </row>
    <row r="3" spans="1:6" x14ac:dyDescent="0.25">
      <c r="A3" s="1"/>
      <c r="B3" s="1"/>
      <c r="C3" s="1"/>
      <c r="D3" s="1"/>
      <c r="E3" s="1"/>
      <c r="F3" s="1"/>
    </row>
    <row r="4" spans="1:6" x14ac:dyDescent="0.25">
      <c r="A4" s="1"/>
      <c r="B4" s="9" t="s">
        <v>77</v>
      </c>
      <c r="C4" s="9" t="s">
        <v>78</v>
      </c>
      <c r="D4" s="9" t="s">
        <v>79</v>
      </c>
      <c r="E4" s="9" t="s">
        <v>80</v>
      </c>
      <c r="F4" s="9" t="s">
        <v>81</v>
      </c>
    </row>
    <row r="5" spans="1:6" x14ac:dyDescent="0.25">
      <c r="A5" s="1"/>
      <c r="B5" s="9" t="s">
        <v>75</v>
      </c>
      <c r="C5" s="9">
        <v>2</v>
      </c>
      <c r="D5" s="9">
        <v>4</v>
      </c>
      <c r="E5" s="9">
        <v>6</v>
      </c>
      <c r="F5" s="9">
        <v>8</v>
      </c>
    </row>
    <row r="6" spans="1:6" x14ac:dyDescent="0.25">
      <c r="A6" s="1"/>
      <c r="B6" s="9" t="s">
        <v>76</v>
      </c>
      <c r="C6" s="9">
        <v>3</v>
      </c>
      <c r="D6" s="9">
        <v>7</v>
      </c>
      <c r="E6" s="9">
        <v>5</v>
      </c>
      <c r="F6" s="9">
        <v>10</v>
      </c>
    </row>
    <row r="8" spans="1:6" x14ac:dyDescent="0.25">
      <c r="A8" t="s">
        <v>82</v>
      </c>
    </row>
    <row r="9" spans="1:6" x14ac:dyDescent="0.25">
      <c r="A9" s="10" t="s">
        <v>83</v>
      </c>
      <c r="B9" s="11"/>
      <c r="C9" s="11"/>
    </row>
    <row r="11" spans="1:6" x14ac:dyDescent="0.25">
      <c r="A11" t="s">
        <v>84</v>
      </c>
    </row>
    <row r="12" spans="1:6" x14ac:dyDescent="0.25">
      <c r="A12" t="s">
        <v>85</v>
      </c>
    </row>
    <row r="13" spans="1:6" x14ac:dyDescent="0.25">
      <c r="A13" t="s">
        <v>86</v>
      </c>
      <c r="E13" s="8" t="s">
        <v>77</v>
      </c>
      <c r="F13" s="8" t="s">
        <v>78</v>
      </c>
    </row>
    <row r="14" spans="1:6" x14ac:dyDescent="0.25">
      <c r="E14" s="8" t="s">
        <v>75</v>
      </c>
      <c r="F14" s="8" t="s">
        <v>76</v>
      </c>
    </row>
    <row r="15" spans="1:6" s="13" customFormat="1" x14ac:dyDescent="0.25">
      <c r="A15" s="10" t="s">
        <v>87</v>
      </c>
      <c r="B15" s="11"/>
      <c r="C15" s="11"/>
      <c r="E15" s="8"/>
      <c r="F15" s="8"/>
    </row>
    <row r="16" spans="1:6" x14ac:dyDescent="0.25">
      <c r="E16" s="15">
        <v>2</v>
      </c>
      <c r="F16" s="15">
        <v>3</v>
      </c>
    </row>
    <row r="17" spans="1:6" x14ac:dyDescent="0.25">
      <c r="B17" t="s">
        <v>88</v>
      </c>
      <c r="C17" s="14">
        <v>5</v>
      </c>
      <c r="E17" s="8">
        <v>4</v>
      </c>
      <c r="F17" s="8">
        <v>7</v>
      </c>
    </row>
    <row r="18" spans="1:6" x14ac:dyDescent="0.25">
      <c r="B18" t="s">
        <v>89</v>
      </c>
      <c r="C18" s="14">
        <v>6.25</v>
      </c>
      <c r="E18" s="8">
        <v>6</v>
      </c>
      <c r="F18" s="8">
        <v>5</v>
      </c>
    </row>
    <row r="19" spans="1:6" x14ac:dyDescent="0.25">
      <c r="E19" s="8">
        <v>8</v>
      </c>
      <c r="F19" s="8">
        <v>10</v>
      </c>
    </row>
    <row r="20" spans="1:6" x14ac:dyDescent="0.25">
      <c r="A20" s="10" t="s">
        <v>90</v>
      </c>
      <c r="B20" s="11"/>
      <c r="C20" s="11"/>
      <c r="D20" s="11"/>
    </row>
    <row r="21" spans="1:6" x14ac:dyDescent="0.25">
      <c r="A21" s="2"/>
    </row>
    <row r="22" spans="1:6" x14ac:dyDescent="0.25">
      <c r="A22" s="2" t="s">
        <v>91</v>
      </c>
    </row>
    <row r="23" spans="1:6" x14ac:dyDescent="0.25">
      <c r="B23" s="16">
        <f>_xlfn.COVARIANCE.S(E16:E19,F16:F19)</f>
        <v>6.333333333333333</v>
      </c>
    </row>
    <row r="24" spans="1:6" x14ac:dyDescent="0.25">
      <c r="A24" s="2" t="s">
        <v>92</v>
      </c>
    </row>
    <row r="25" spans="1:6" x14ac:dyDescent="0.25">
      <c r="B25" s="14">
        <f>_xlfn.COVARIANCE.P(E16:E19,F16:F19)</f>
        <v>4.75</v>
      </c>
    </row>
    <row r="27" spans="1:6" x14ac:dyDescent="0.25">
      <c r="A27" s="10" t="s">
        <v>93</v>
      </c>
      <c r="B27" s="11"/>
    </row>
    <row r="29" spans="1:6" x14ac:dyDescent="0.25">
      <c r="A29" t="s">
        <v>94</v>
      </c>
    </row>
    <row r="30" spans="1:6" x14ac:dyDescent="0.25">
      <c r="A30" t="s">
        <v>95</v>
      </c>
      <c r="B30" s="16"/>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12" sqref="D12"/>
    </sheetView>
  </sheetViews>
  <sheetFormatPr defaultRowHeight="15" x14ac:dyDescent="0.25"/>
  <cols>
    <col min="2" max="5" width="13.42578125" bestFit="1" customWidth="1"/>
    <col min="6" max="6" width="11.28515625" customWidth="1"/>
    <col min="7" max="7" width="11" customWidth="1"/>
  </cols>
  <sheetData>
    <row r="1" spans="1:7" x14ac:dyDescent="0.25">
      <c r="A1" s="1" t="s">
        <v>96</v>
      </c>
      <c r="B1" s="1"/>
      <c r="C1" s="1"/>
      <c r="D1" s="1"/>
      <c r="E1" s="1"/>
      <c r="F1" s="1"/>
      <c r="G1" s="1"/>
    </row>
    <row r="2" spans="1:7" x14ac:dyDescent="0.25">
      <c r="A2" s="1" t="s">
        <v>97</v>
      </c>
      <c r="B2" s="1"/>
      <c r="C2" s="1"/>
      <c r="D2" s="1"/>
      <c r="E2" s="1"/>
      <c r="F2" s="1"/>
      <c r="G2" s="1"/>
    </row>
    <row r="3" spans="1:7" x14ac:dyDescent="0.25">
      <c r="A3" s="1"/>
      <c r="B3" s="1"/>
      <c r="C3" s="1"/>
      <c r="D3" s="1"/>
      <c r="E3" s="1"/>
      <c r="F3" s="1"/>
      <c r="G3" s="1"/>
    </row>
    <row r="4" spans="1:7" x14ac:dyDescent="0.25">
      <c r="B4" s="8" t="s">
        <v>77</v>
      </c>
      <c r="C4" s="8" t="s">
        <v>78</v>
      </c>
      <c r="D4" s="8" t="s">
        <v>79</v>
      </c>
      <c r="E4" s="8" t="s">
        <v>80</v>
      </c>
      <c r="F4" s="8" t="s">
        <v>81</v>
      </c>
      <c r="G4" s="8" t="s">
        <v>100</v>
      </c>
    </row>
    <row r="5" spans="1:7" x14ac:dyDescent="0.25">
      <c r="B5" s="8" t="s">
        <v>98</v>
      </c>
      <c r="C5" s="8">
        <v>10</v>
      </c>
      <c r="D5" s="8">
        <v>20</v>
      </c>
      <c r="E5" s="8">
        <v>30</v>
      </c>
      <c r="F5" s="8">
        <v>40</v>
      </c>
      <c r="G5" s="8">
        <v>50</v>
      </c>
    </row>
    <row r="6" spans="1:7" x14ac:dyDescent="0.25">
      <c r="B6" s="8" t="s">
        <v>99</v>
      </c>
      <c r="C6" s="8">
        <v>8</v>
      </c>
      <c r="D6" s="8">
        <v>14</v>
      </c>
      <c r="E6" s="8">
        <v>18</v>
      </c>
      <c r="F6" s="8">
        <v>24</v>
      </c>
      <c r="G6" s="8">
        <v>28</v>
      </c>
    </row>
    <row r="9" spans="1:7" s="13" customFormat="1" x14ac:dyDescent="0.25">
      <c r="A9" s="10" t="s">
        <v>103</v>
      </c>
      <c r="B9" s="11"/>
      <c r="C9" s="11"/>
    </row>
    <row r="10" spans="1:7" x14ac:dyDescent="0.25">
      <c r="A10" s="2" t="s">
        <v>102</v>
      </c>
    </row>
    <row r="11" spans="1:7" x14ac:dyDescent="0.25">
      <c r="B11" s="14">
        <f>CORREL(C5:G5, C6:G6)</f>
        <v>0.99760860558452769</v>
      </c>
    </row>
    <row r="13" spans="1:7" x14ac:dyDescent="0.25">
      <c r="A13" s="12" t="s">
        <v>93</v>
      </c>
      <c r="B13" s="13"/>
    </row>
    <row r="14" spans="1:7" x14ac:dyDescent="0.25">
      <c r="A14" t="s">
        <v>104</v>
      </c>
      <c r="C14" s="14">
        <v>0.99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B4" sqref="B4:G6"/>
    </sheetView>
  </sheetViews>
  <sheetFormatPr defaultRowHeight="15" x14ac:dyDescent="0.25"/>
  <cols>
    <col min="2" max="6" width="13.42578125" bestFit="1" customWidth="1"/>
    <col min="7" max="7" width="11" customWidth="1"/>
  </cols>
  <sheetData>
    <row r="1" spans="1:11" x14ac:dyDescent="0.25">
      <c r="A1" s="1" t="s">
        <v>105</v>
      </c>
      <c r="B1" s="1"/>
      <c r="C1" s="1"/>
      <c r="D1" s="1"/>
      <c r="E1" s="1"/>
      <c r="F1" s="1"/>
      <c r="G1" s="1"/>
      <c r="H1" s="1"/>
      <c r="I1" s="1"/>
      <c r="J1" s="1"/>
      <c r="K1" s="1"/>
    </row>
    <row r="2" spans="1:11" x14ac:dyDescent="0.25">
      <c r="A2" s="1" t="s">
        <v>106</v>
      </c>
      <c r="B2" s="1"/>
      <c r="C2" s="1"/>
      <c r="D2" s="1"/>
      <c r="E2" s="1"/>
      <c r="F2" s="1"/>
      <c r="G2" s="1"/>
      <c r="H2" s="1"/>
      <c r="I2" s="1"/>
      <c r="J2" s="1"/>
      <c r="K2" s="1"/>
    </row>
    <row r="4" spans="1:11" x14ac:dyDescent="0.25">
      <c r="B4" s="8" t="s">
        <v>77</v>
      </c>
      <c r="C4" s="8" t="s">
        <v>78</v>
      </c>
      <c r="D4" s="8" t="s">
        <v>79</v>
      </c>
      <c r="E4" s="8" t="s">
        <v>80</v>
      </c>
      <c r="F4" s="8" t="s">
        <v>81</v>
      </c>
      <c r="G4" s="8" t="s">
        <v>100</v>
      </c>
    </row>
    <row r="5" spans="1:11" x14ac:dyDescent="0.25">
      <c r="B5" s="8" t="s">
        <v>107</v>
      </c>
      <c r="C5" s="8">
        <v>150</v>
      </c>
      <c r="D5" s="8">
        <v>160</v>
      </c>
      <c r="E5" s="8">
        <v>165</v>
      </c>
      <c r="F5" s="8">
        <v>170</v>
      </c>
      <c r="G5" s="8">
        <v>180</v>
      </c>
    </row>
    <row r="6" spans="1:11" x14ac:dyDescent="0.25">
      <c r="B6" s="8" t="s">
        <v>108</v>
      </c>
      <c r="C6" s="8">
        <v>50</v>
      </c>
      <c r="D6" s="8">
        <v>55</v>
      </c>
      <c r="E6" s="8">
        <v>58</v>
      </c>
      <c r="F6" s="8">
        <v>62</v>
      </c>
      <c r="G6" s="8">
        <v>70</v>
      </c>
    </row>
    <row r="8" spans="1:11" x14ac:dyDescent="0.25">
      <c r="A8" s="10" t="s">
        <v>103</v>
      </c>
      <c r="B8" s="11"/>
      <c r="C8" s="11"/>
      <c r="D8" s="13"/>
    </row>
    <row r="9" spans="1:11" x14ac:dyDescent="0.25">
      <c r="A9" s="2" t="s">
        <v>102</v>
      </c>
    </row>
    <row r="10" spans="1:11" x14ac:dyDescent="0.25">
      <c r="B10" s="14">
        <f>CORREL(C5:G5, C6:G6)</f>
        <v>0.99218437024647965</v>
      </c>
    </row>
    <row r="12" spans="1:11" x14ac:dyDescent="0.25">
      <c r="A12" s="10" t="s">
        <v>110</v>
      </c>
      <c r="B12" s="11"/>
    </row>
    <row r="14" spans="1:11" x14ac:dyDescent="0.25">
      <c r="A14" t="s">
        <v>109</v>
      </c>
    </row>
    <row r="15" spans="1:11" x14ac:dyDescent="0.25">
      <c r="A15" s="14" t="s">
        <v>111</v>
      </c>
    </row>
    <row r="16" spans="1:11" x14ac:dyDescent="0.25">
      <c r="A16" t="s">
        <v>112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E10" sqref="E10"/>
    </sheetView>
  </sheetViews>
  <sheetFormatPr defaultRowHeight="15" x14ac:dyDescent="0.25"/>
  <cols>
    <col min="2" max="7" width="13.42578125" bestFit="1" customWidth="1"/>
  </cols>
  <sheetData>
    <row r="1" spans="1:15" x14ac:dyDescent="0.25">
      <c r="A1" s="1" t="s">
        <v>113</v>
      </c>
      <c r="B1" s="1"/>
      <c r="C1" s="1"/>
      <c r="D1" s="1"/>
      <c r="E1" s="1"/>
      <c r="F1" s="1"/>
      <c r="G1" s="1"/>
      <c r="H1" s="1"/>
      <c r="I1" s="1"/>
      <c r="J1" s="1"/>
      <c r="K1" s="1"/>
      <c r="L1" s="1"/>
      <c r="M1" s="1"/>
      <c r="N1" s="1"/>
      <c r="O1" s="1"/>
    </row>
    <row r="2" spans="1:15" x14ac:dyDescent="0.25">
      <c r="A2" s="1" t="s">
        <v>114</v>
      </c>
      <c r="B2" s="1"/>
      <c r="C2" s="1"/>
      <c r="D2" s="1"/>
      <c r="E2" s="1"/>
      <c r="F2" s="1"/>
      <c r="G2" s="1"/>
      <c r="H2" s="1"/>
      <c r="I2" s="1"/>
      <c r="J2" s="1"/>
      <c r="K2" s="1"/>
      <c r="L2" s="1"/>
      <c r="M2" s="1"/>
      <c r="N2" s="1"/>
      <c r="O2" s="1"/>
    </row>
    <row r="4" spans="1:15" x14ac:dyDescent="0.25">
      <c r="B4" s="8" t="s">
        <v>77</v>
      </c>
      <c r="C4" s="8" t="s">
        <v>78</v>
      </c>
      <c r="D4" s="8" t="s">
        <v>79</v>
      </c>
      <c r="E4" s="8" t="s">
        <v>80</v>
      </c>
      <c r="F4" s="8" t="s">
        <v>81</v>
      </c>
      <c r="G4" s="8" t="s">
        <v>100</v>
      </c>
    </row>
    <row r="5" spans="1:15" x14ac:dyDescent="0.25">
      <c r="B5" s="8" t="s">
        <v>75</v>
      </c>
      <c r="C5" s="8">
        <v>1</v>
      </c>
      <c r="D5" s="8">
        <v>2</v>
      </c>
      <c r="E5" s="8">
        <v>3</v>
      </c>
      <c r="F5" s="8">
        <v>4</v>
      </c>
      <c r="G5" s="8">
        <v>5</v>
      </c>
    </row>
    <row r="6" spans="1:15" x14ac:dyDescent="0.25">
      <c r="B6" s="8" t="s">
        <v>76</v>
      </c>
      <c r="C6" s="8">
        <v>15</v>
      </c>
      <c r="D6" s="8">
        <v>12</v>
      </c>
      <c r="E6" s="8">
        <v>9</v>
      </c>
      <c r="F6" s="8">
        <v>7</v>
      </c>
      <c r="G6" s="8">
        <v>3</v>
      </c>
    </row>
    <row r="8" spans="1:15" x14ac:dyDescent="0.25">
      <c r="A8" s="5" t="s">
        <v>101</v>
      </c>
      <c r="B8" s="5"/>
      <c r="C8" s="5"/>
      <c r="D8" s="5"/>
    </row>
    <row r="9" spans="1:15" x14ac:dyDescent="0.25">
      <c r="B9" s="14">
        <f>CORREL(C5:G5, C6:G6)</f>
        <v>-0.99586408862799536</v>
      </c>
    </row>
    <row r="11" spans="1:15" x14ac:dyDescent="0.25">
      <c r="A11" s="10" t="s">
        <v>93</v>
      </c>
      <c r="B11" s="11"/>
    </row>
    <row r="12" spans="1:15" x14ac:dyDescent="0.25">
      <c r="A12" s="2"/>
    </row>
    <row r="13" spans="1:15" x14ac:dyDescent="0.25">
      <c r="A13" s="2" t="s">
        <v>120</v>
      </c>
    </row>
    <row r="14" spans="1:15" x14ac:dyDescent="0.25">
      <c r="A14" s="2" t="s">
        <v>121</v>
      </c>
    </row>
    <row r="15" spans="1:15" x14ac:dyDescent="0.25">
      <c r="A15" t="s">
        <v>122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tabSelected="1" workbookViewId="0">
      <selection activeCell="B28" sqref="B28"/>
    </sheetView>
  </sheetViews>
  <sheetFormatPr defaultRowHeight="15" x14ac:dyDescent="0.25"/>
  <cols>
    <col min="2" max="3" width="13.42578125" bestFit="1" customWidth="1"/>
    <col min="4" max="4" width="11" customWidth="1"/>
  </cols>
  <sheetData>
    <row r="1" spans="1:17" x14ac:dyDescent="0.25">
      <c r="A1" s="1" t="s">
        <v>115</v>
      </c>
      <c r="B1" s="1"/>
      <c r="C1" s="1"/>
      <c r="D1" s="1"/>
      <c r="E1" s="1"/>
      <c r="F1" s="1"/>
      <c r="G1" s="1"/>
      <c r="H1" s="1"/>
      <c r="I1" s="1"/>
      <c r="J1" s="1"/>
      <c r="K1" s="1"/>
      <c r="L1" s="1"/>
      <c r="M1" s="1"/>
      <c r="N1" s="1"/>
      <c r="O1" s="1"/>
      <c r="P1" s="1"/>
      <c r="Q1" s="1"/>
    </row>
    <row r="2" spans="1:17" x14ac:dyDescent="0.25">
      <c r="A2" s="1" t="s">
        <v>116</v>
      </c>
      <c r="B2" s="1"/>
      <c r="C2" s="1"/>
      <c r="D2" s="1"/>
      <c r="E2" s="1"/>
      <c r="F2" s="1"/>
      <c r="G2" s="1"/>
      <c r="H2" s="1"/>
      <c r="I2" s="1"/>
      <c r="J2" s="1"/>
      <c r="K2" s="1"/>
      <c r="L2" s="1"/>
      <c r="M2" s="1"/>
      <c r="N2" s="1"/>
      <c r="O2" s="1"/>
      <c r="P2" s="1"/>
      <c r="Q2" s="1"/>
    </row>
    <row r="4" spans="1:17" x14ac:dyDescent="0.25">
      <c r="B4" s="9" t="s">
        <v>77</v>
      </c>
      <c r="C4" s="9" t="s">
        <v>78</v>
      </c>
      <c r="D4" s="9" t="s">
        <v>79</v>
      </c>
    </row>
    <row r="5" spans="1:17" x14ac:dyDescent="0.25">
      <c r="B5" s="9" t="s">
        <v>117</v>
      </c>
      <c r="C5" s="9" t="s">
        <v>118</v>
      </c>
      <c r="D5" s="9" t="s">
        <v>119</v>
      </c>
    </row>
    <row r="6" spans="1:17" x14ac:dyDescent="0.25">
      <c r="B6" s="9"/>
      <c r="C6" s="9"/>
      <c r="D6" s="9"/>
    </row>
    <row r="7" spans="1:17" x14ac:dyDescent="0.25">
      <c r="B7" s="9">
        <v>1</v>
      </c>
      <c r="C7" s="9">
        <v>8</v>
      </c>
      <c r="D7" s="9">
        <v>6</v>
      </c>
    </row>
    <row r="8" spans="1:17" x14ac:dyDescent="0.25">
      <c r="B8" s="9">
        <v>2</v>
      </c>
      <c r="C8" s="9">
        <v>10</v>
      </c>
      <c r="D8" s="9">
        <v>9</v>
      </c>
    </row>
    <row r="9" spans="1:17" x14ac:dyDescent="0.25">
      <c r="B9" s="9">
        <v>3</v>
      </c>
      <c r="C9" s="9">
        <v>12</v>
      </c>
      <c r="D9" s="9">
        <v>11</v>
      </c>
    </row>
    <row r="10" spans="1:17" x14ac:dyDescent="0.25">
      <c r="B10" s="9">
        <v>4</v>
      </c>
      <c r="C10" s="9">
        <v>9</v>
      </c>
      <c r="D10" s="9">
        <v>8</v>
      </c>
    </row>
    <row r="11" spans="1:17" x14ac:dyDescent="0.25">
      <c r="B11" s="9">
        <v>5</v>
      </c>
      <c r="C11" s="9">
        <v>11</v>
      </c>
      <c r="D11" s="9">
        <v>10</v>
      </c>
    </row>
    <row r="13" spans="1:17" x14ac:dyDescent="0.25">
      <c r="A13" s="10" t="s">
        <v>124</v>
      </c>
      <c r="B13" s="11"/>
      <c r="C13" s="11"/>
      <c r="D13" s="13"/>
    </row>
    <row r="14" spans="1:17" x14ac:dyDescent="0.25">
      <c r="A14" s="2" t="s">
        <v>123</v>
      </c>
    </row>
    <row r="15" spans="1:17" x14ac:dyDescent="0.25">
      <c r="B15" s="14">
        <f>_xlfn.COVARIANCE.S(C7:C11, D7:D11)</f>
        <v>3</v>
      </c>
    </row>
    <row r="16" spans="1:17" x14ac:dyDescent="0.25">
      <c r="A16" t="s">
        <v>125</v>
      </c>
    </row>
    <row r="17" spans="1:4" x14ac:dyDescent="0.25">
      <c r="B17" s="14">
        <f>_xlfn.COVARIANCE.P(C7:C11, D7:D11)</f>
        <v>2.4</v>
      </c>
    </row>
    <row r="19" spans="1:4" x14ac:dyDescent="0.25">
      <c r="A19" s="10" t="s">
        <v>127</v>
      </c>
      <c r="B19" s="11"/>
      <c r="C19" s="11"/>
      <c r="D19" s="13"/>
    </row>
    <row r="20" spans="1:4" x14ac:dyDescent="0.25">
      <c r="A20" s="2" t="s">
        <v>126</v>
      </c>
    </row>
    <row r="21" spans="1:4" x14ac:dyDescent="0.25">
      <c r="B21" s="14">
        <f>CORREL(C7:C11, D7:D11)</f>
        <v>0.98639392383214364</v>
      </c>
    </row>
    <row r="23" spans="1:4" x14ac:dyDescent="0.25">
      <c r="A23" s="10" t="s">
        <v>130</v>
      </c>
      <c r="B23" s="11"/>
    </row>
    <row r="24" spans="1:4" x14ac:dyDescent="0.25">
      <c r="A24" s="2"/>
    </row>
    <row r="25" spans="1:4" x14ac:dyDescent="0.25">
      <c r="A25" s="2" t="s">
        <v>128</v>
      </c>
    </row>
    <row r="26" spans="1:4" x14ac:dyDescent="0.25">
      <c r="A26" s="2" t="s">
        <v>129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Answer 1</vt:lpstr>
      <vt:lpstr>Answer 2</vt:lpstr>
      <vt:lpstr>Answer 3</vt:lpstr>
      <vt:lpstr>Answer 4</vt:lpstr>
      <vt:lpstr>Answer 5</vt:lpstr>
      <vt:lpstr>Answer 6</vt:lpstr>
      <vt:lpstr>Answer 7</vt:lpstr>
      <vt:lpstr>Answer 8</vt:lpstr>
      <vt:lpstr>Answer 9</vt:lpstr>
      <vt:lpstr>Answer 10</vt:lpstr>
    </vt:vector>
  </TitlesOfParts>
  <Company>PricewaterhouseCoopers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SONY</cp:lastModifiedBy>
  <dcterms:created xsi:type="dcterms:W3CDTF">2026-01-19T16:26:09Z</dcterms:created>
  <dcterms:modified xsi:type="dcterms:W3CDTF">2026-01-19T17:31:23Z</dcterms:modified>
</cp:coreProperties>
</file>