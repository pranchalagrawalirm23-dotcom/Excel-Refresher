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6.xml" ContentType="application/vnd.openxmlformats-officedocument.spreadsheetml.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tables/table7.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tables/table8.xml" ContentType="application/vnd.openxmlformats-officedocument.spreadsheetml.table+xml"/>
  <Override PartName="/xl/slicers/slicer2.xml" ContentType="application/vnd.ms-excel.slicer+xml"/>
  <Override PartName="/xl/pivotTables/pivotTable6.xml" ContentType="application/vnd.openxmlformats-officedocument.spreadsheetml.pivotTable+xml"/>
  <Override PartName="/xl/drawings/drawing5.xml" ContentType="application/vnd.openxmlformats-officedocument.drawing+xml"/>
  <Override PartName="/xl/tables/table9.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0.xml" ContentType="application/vnd.openxmlformats-officedocument.spreadsheetml.table+xml"/>
  <Override PartName="/xl/pivotTables/pivotTable9.xml" ContentType="application/vnd.openxmlformats-officedocument.spreadsheetml.pivotTable+xml"/>
  <Override PartName="/xl/drawings/drawing6.xml" ContentType="application/vnd.openxmlformats-officedocument.drawing+xml"/>
  <Override PartName="/xl/tables/table11.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ONY\Downloads\"/>
    </mc:Choice>
  </mc:AlternateContent>
  <bookViews>
    <workbookView xWindow="0" yWindow="0" windowWidth="20490" windowHeight="7755" firstSheet="1" activeTab="1"/>
  </bookViews>
  <sheets>
    <sheet name="Description Sheet" sheetId="1" r:id="rId1"/>
    <sheet name="Answer 1" sheetId="2" r:id="rId2"/>
    <sheet name="Answer 2" sheetId="3" r:id="rId3"/>
    <sheet name="Answer 3" sheetId="4" r:id="rId4"/>
    <sheet name="Answer 4" sheetId="5" r:id="rId5"/>
    <sheet name="Answer 5" sheetId="6" r:id="rId6"/>
    <sheet name="Answer 6(a)" sheetId="7" r:id="rId7"/>
    <sheet name="Answer 6(b)" sheetId="8" r:id="rId8"/>
    <sheet name="Answer 7" sheetId="9" r:id="rId9"/>
    <sheet name=" Answer 8(a)" sheetId="10" r:id="rId10"/>
    <sheet name="Answer 8(b)" sheetId="12" r:id="rId11"/>
    <sheet name="Answer 8(c)" sheetId="14" r:id="rId12"/>
    <sheet name="Answer 9" sheetId="11" r:id="rId13"/>
    <sheet name="Answer 10" sheetId="15" r:id="rId14"/>
  </sheets>
  <definedNames>
    <definedName name="_xlnm._FilterDatabase" localSheetId="4" hidden="1">'Answer 4'!$G$28:$L$48</definedName>
    <definedName name="_xlnm._FilterDatabase" localSheetId="6" hidden="1">'Answer 6(a)'!$I$4:$N$24</definedName>
    <definedName name="Slicer_Based_on_product">#N/A</definedName>
    <definedName name="Slicer_Product">#N/A</definedName>
  </definedNames>
  <calcPr calcId="152511"/>
  <pivotCaches>
    <pivotCache cacheId="0" r:id="rId15"/>
    <pivotCache cacheId="1" r:id="rId16"/>
    <pivotCache cacheId="2" r:id="rId17"/>
    <pivotCache cacheId="8" r:id="rId18"/>
    <pivotCache cacheId="13" r:id="rId19"/>
    <pivotCache cacheId="17" r:id="rId20"/>
  </pivotCaches>
  <extLs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6" i="10" l="1"/>
  <c r="G13" i="10"/>
  <c r="G10" i="10"/>
  <c r="G7" i="10"/>
</calcChain>
</file>

<file path=xl/sharedStrings.xml><?xml version="1.0" encoding="utf-8"?>
<sst xmlns="http://schemas.openxmlformats.org/spreadsheetml/2006/main" count="781" uniqueCount="109">
  <si>
    <t>Date</t>
  </si>
  <si>
    <t>Region</t>
  </si>
  <si>
    <t>Product</t>
  </si>
  <si>
    <t>Sales</t>
  </si>
  <si>
    <t>Quantity</t>
  </si>
  <si>
    <t>West</t>
  </si>
  <si>
    <t>Mangoes</t>
  </si>
  <si>
    <t>South</t>
  </si>
  <si>
    <t>Oranges</t>
  </si>
  <si>
    <t>Apples</t>
  </si>
  <si>
    <t>East</t>
  </si>
  <si>
    <t>North</t>
  </si>
  <si>
    <t>This dataset represents fruit sales across different regions within the first 6 months of 2024.</t>
  </si>
  <si>
    <t>DATASET OVERVIEW:-</t>
  </si>
  <si>
    <t>COLUMNS EXPLANATION:-</t>
  </si>
  <si>
    <r>
      <rPr>
        <b/>
        <sz val="11"/>
        <color theme="1"/>
        <rFont val="Calibri"/>
        <family val="2"/>
        <scheme val="minor"/>
      </rPr>
      <t>Dates:</t>
    </r>
    <r>
      <rPr>
        <sz val="11"/>
        <color theme="1"/>
        <rFont val="Calibri"/>
        <family val="2"/>
        <scheme val="minor"/>
      </rPr>
      <t>- Transaction Date ( Jan-June 2024 )</t>
    </r>
  </si>
  <si>
    <r>
      <rPr>
        <b/>
        <sz val="11"/>
        <color theme="1"/>
        <rFont val="Calibri"/>
        <family val="2"/>
        <scheme val="minor"/>
      </rPr>
      <t>Region</t>
    </r>
    <r>
      <rPr>
        <sz val="11"/>
        <color theme="1"/>
        <rFont val="Calibri"/>
        <family val="2"/>
        <scheme val="minor"/>
      </rPr>
      <t>:- Sales region ( North, west, South, East )</t>
    </r>
  </si>
  <si>
    <r>
      <rPr>
        <b/>
        <sz val="11"/>
        <color theme="1"/>
        <rFont val="Calibri"/>
        <family val="2"/>
        <scheme val="minor"/>
      </rPr>
      <t>Sales:</t>
    </r>
    <r>
      <rPr>
        <sz val="11"/>
        <color theme="1"/>
        <rFont val="Calibri"/>
        <family val="2"/>
        <scheme val="minor"/>
      </rPr>
      <t>- Total Sales Amount</t>
    </r>
  </si>
  <si>
    <r>
      <rPr>
        <b/>
        <sz val="11"/>
        <color theme="1"/>
        <rFont val="Calibri"/>
        <family val="2"/>
        <scheme val="minor"/>
      </rPr>
      <t>Quantity:</t>
    </r>
    <r>
      <rPr>
        <sz val="11"/>
        <color theme="1"/>
        <rFont val="Calibri"/>
        <family val="2"/>
        <scheme val="minor"/>
      </rPr>
      <t>- Units Sold</t>
    </r>
  </si>
  <si>
    <r>
      <rPr>
        <b/>
        <sz val="11"/>
        <color theme="1"/>
        <rFont val="Calibri"/>
        <family val="2"/>
        <scheme val="minor"/>
      </rPr>
      <t>Product:</t>
    </r>
    <r>
      <rPr>
        <sz val="11"/>
        <color theme="1"/>
        <rFont val="Calibri"/>
        <family val="2"/>
        <scheme val="minor"/>
      </rPr>
      <t>- Types of Fruit sold ( Apples, Oranges, Mangoes )</t>
    </r>
  </si>
  <si>
    <t xml:space="preserve">TOOLS FOR ANALYSIS:- </t>
  </si>
  <si>
    <r>
      <rPr>
        <b/>
        <sz val="11"/>
        <color theme="1"/>
        <rFont val="Calibri"/>
        <family val="2"/>
        <scheme val="minor"/>
      </rPr>
      <t xml:space="preserve">Excel </t>
    </r>
    <r>
      <rPr>
        <sz val="11"/>
        <color theme="1"/>
        <rFont val="Calibri"/>
        <family val="2"/>
        <scheme val="minor"/>
      </rPr>
      <t>→ PivotTables, Conditional Formatting, Charts, Dashboards</t>
    </r>
  </si>
  <si>
    <t>Q1</t>
  </si>
  <si>
    <t>What is the purpose of a PivotTable in Excel?</t>
  </si>
  <si>
    <r>
      <t xml:space="preserve">A PivotTable is used to </t>
    </r>
    <r>
      <rPr>
        <b/>
        <sz val="11"/>
        <color theme="1"/>
        <rFont val="Calibri"/>
        <family val="2"/>
        <scheme val="minor"/>
      </rPr>
      <t>quickly summarize, analyze, and reorganize large amounts of data</t>
    </r>
    <r>
      <rPr>
        <sz val="11"/>
        <color theme="1"/>
        <rFont val="Calibri"/>
        <family val="2"/>
        <scheme val="minor"/>
      </rPr>
      <t xml:space="preserve"> in Excel without writing complex formulas</t>
    </r>
  </si>
  <si>
    <r>
      <t xml:space="preserve">PivotTables </t>
    </r>
    <r>
      <rPr>
        <b/>
        <sz val="11"/>
        <color theme="1"/>
        <rFont val="Calibri"/>
        <family val="2"/>
        <scheme val="minor"/>
      </rPr>
      <t>replace many formulas</t>
    </r>
    <r>
      <rPr>
        <sz val="11"/>
        <color theme="1"/>
        <rFont val="Calibri"/>
        <family val="2"/>
        <scheme val="minor"/>
      </rPr>
      <t xml:space="preserve">, allow </t>
    </r>
    <r>
      <rPr>
        <b/>
        <sz val="11"/>
        <color theme="1"/>
        <rFont val="Calibri"/>
        <family val="2"/>
        <scheme val="minor"/>
      </rPr>
      <t>instant grouping and filtering</t>
    </r>
    <r>
      <rPr>
        <sz val="11"/>
        <color theme="1"/>
        <rFont val="Calibri"/>
        <family val="2"/>
        <scheme val="minor"/>
      </rPr>
      <t>, and update automatically when data changes.</t>
    </r>
  </si>
  <si>
    <r>
      <t>No complex formulas required</t>
    </r>
    <r>
      <rPr>
        <sz val="11"/>
        <color theme="1"/>
        <rFont val="Calibri"/>
        <family val="2"/>
        <scheme val="minor"/>
      </rPr>
      <t xml:space="preserve"> – calculations like Sum, Count, Average are built-in</t>
    </r>
  </si>
  <si>
    <r>
      <t>Fast data summarization</t>
    </r>
    <r>
      <rPr>
        <sz val="11"/>
        <color theme="1"/>
        <rFont val="Calibri"/>
        <family val="2"/>
        <scheme val="minor"/>
      </rPr>
      <t xml:space="preserve"> – works well with large datasets</t>
    </r>
  </si>
  <si>
    <r>
      <t>Easy comparison</t>
    </r>
    <r>
      <rPr>
        <sz val="11"/>
        <color theme="1"/>
        <rFont val="Calibri"/>
        <family val="2"/>
        <scheme val="minor"/>
      </rPr>
      <t xml:space="preserve"> – compare values by category (region, product, employee, etc.)</t>
    </r>
  </si>
  <si>
    <r>
      <t>Dynamic &amp; flexible</t>
    </r>
    <r>
      <rPr>
        <sz val="11"/>
        <color theme="1"/>
        <rFont val="Calibri"/>
        <family val="2"/>
        <scheme val="minor"/>
      </rPr>
      <t xml:space="preserve"> – drag-and-drop fields to change the report instantly</t>
    </r>
  </si>
  <si>
    <r>
      <t>Automatic recalculation</t>
    </r>
    <r>
      <rPr>
        <sz val="11"/>
        <color theme="1"/>
        <rFont val="Calibri"/>
        <family val="2"/>
        <scheme val="minor"/>
      </rPr>
      <t xml:space="preserve"> when source data is refreshed</t>
    </r>
  </si>
  <si>
    <r>
      <t>Sorting &amp; filtering</t>
    </r>
    <r>
      <rPr>
        <sz val="11"/>
        <color theme="1"/>
        <rFont val="Calibri"/>
        <family val="2"/>
        <scheme val="minor"/>
      </rPr>
      <t xml:space="preserve"> without formula</t>
    </r>
  </si>
  <si>
    <r>
      <t>Grouping feature</t>
    </r>
    <r>
      <rPr>
        <sz val="11"/>
        <color theme="1"/>
        <rFont val="Calibri"/>
        <family val="2"/>
        <scheme val="minor"/>
      </rPr>
      <t xml:space="preserve"> – group dates, numbers, or categories easily</t>
    </r>
  </si>
  <si>
    <r>
      <t>Multiple views from same data</t>
    </r>
    <r>
      <rPr>
        <sz val="11"/>
        <color theme="1"/>
        <rFont val="Calibri"/>
        <family val="2"/>
        <scheme val="minor"/>
      </rPr>
      <t xml:space="preserve"> – create different PivotTables from one dataset</t>
    </r>
  </si>
  <si>
    <r>
      <t>Reduces errors</t>
    </r>
    <r>
      <rPr>
        <sz val="11"/>
        <color theme="1"/>
        <rFont val="Calibri"/>
        <family val="2"/>
        <scheme val="minor"/>
      </rPr>
      <t xml:space="preserve"> compared to writing multiple formulas</t>
    </r>
  </si>
  <si>
    <r>
      <t>Supports calculated fields</t>
    </r>
    <r>
      <rPr>
        <sz val="11"/>
        <color theme="1"/>
        <rFont val="Calibri"/>
        <family val="2"/>
        <scheme val="minor"/>
      </rPr>
      <t xml:space="preserve"> if basic formulas are needed</t>
    </r>
  </si>
  <si>
    <t>KEY POINTS:-</t>
  </si>
  <si>
    <t>Q2</t>
  </si>
  <si>
    <t>Create a PivotTable to show Total Sales by Region.</t>
  </si>
  <si>
    <t>Row Labels</t>
  </si>
  <si>
    <t>Grand Total</t>
  </si>
  <si>
    <t>Sum of Sales</t>
  </si>
  <si>
    <t>Q3</t>
  </si>
  <si>
    <t>Apply Conditional Formatting to highlight sales greater than 400.</t>
  </si>
  <si>
    <t>Here we colured all cells in light yellow colored which are greater than 400 by using conditional formatting.</t>
  </si>
  <si>
    <t>Q4</t>
  </si>
  <si>
    <t>Explain the difference between Sorting and Filtering with an example from this dataset.</t>
  </si>
  <si>
    <t>Sorting:-</t>
  </si>
  <si>
    <t>Based On Date</t>
  </si>
  <si>
    <t>Based On Region</t>
  </si>
  <si>
    <t>Based on product</t>
  </si>
  <si>
    <t>Based on Sales</t>
  </si>
  <si>
    <t>Based on quantity</t>
  </si>
  <si>
    <t>Smallest to Largest</t>
  </si>
  <si>
    <t>A to Z</t>
  </si>
  <si>
    <t>Small to Large</t>
  </si>
  <si>
    <t>Filtering:-</t>
  </si>
  <si>
    <t>Difference between Sorting n Filtering</t>
  </si>
  <si>
    <t>Arranges data in a specific order (A–Z, Z–A, smallest to largest)</t>
  </si>
  <si>
    <t>SORTING:-</t>
  </si>
  <si>
    <t>All data remain visible, only the order changes</t>
  </si>
  <si>
    <t>FILTERING:-</t>
  </si>
  <si>
    <t>Displays only the data that meets certain criteria</t>
  </si>
  <si>
    <t>Unwanted data is hidden, not deleted.</t>
  </si>
  <si>
    <t>Q5</t>
  </si>
  <si>
    <t>Create a PivotChart showing Monthly Sales Trend</t>
  </si>
  <si>
    <t>Jan</t>
  </si>
  <si>
    <t>Feb</t>
  </si>
  <si>
    <t>Mar</t>
  </si>
  <si>
    <t>Apr</t>
  </si>
  <si>
    <t>May</t>
  </si>
  <si>
    <t>Jun</t>
  </si>
  <si>
    <t>Q6</t>
  </si>
  <si>
    <t>Use a Slicer to filter data by Product and observe changes in sales</t>
  </si>
  <si>
    <t>Sum of Based on Sales</t>
  </si>
  <si>
    <t>Q7</t>
  </si>
  <si>
    <t>Why are Dashboards important for decision-making in business analysis?</t>
  </si>
  <si>
    <t>Dashboards are important for decision-making in business analysis because they:</t>
  </si>
  <si>
    <r>
      <t>a) Provide a quick overview of performance</t>
    </r>
    <r>
      <rPr>
        <sz val="11"/>
        <color theme="1"/>
        <rFont val="Calibri"/>
        <family val="2"/>
        <scheme val="minor"/>
      </rPr>
      <t xml:space="preserve"> by displaying key metrics and KPIs in one place</t>
    </r>
  </si>
  <si>
    <r>
      <t>b) Enable faster decisions</t>
    </r>
    <r>
      <rPr>
        <sz val="11"/>
        <color theme="1"/>
        <rFont val="Calibri"/>
        <family val="2"/>
        <scheme val="minor"/>
      </rPr>
      <t xml:space="preserve"> by presenting real-time or near–real-time data</t>
    </r>
  </si>
  <si>
    <r>
      <t>c) Simplify complex data</t>
    </r>
    <r>
      <rPr>
        <sz val="11"/>
        <color theme="1"/>
        <rFont val="Calibri"/>
        <family val="2"/>
        <scheme val="minor"/>
      </rPr>
      <t xml:space="preserve"> through charts, graphs, and visual indicators</t>
    </r>
  </si>
  <si>
    <r>
      <t>d) Highlight trends and patterns</t>
    </r>
    <r>
      <rPr>
        <sz val="11"/>
        <color theme="1"/>
        <rFont val="Calibri"/>
        <family val="2"/>
        <scheme val="minor"/>
      </rPr>
      <t xml:space="preserve"> that may not be obvious in raw data</t>
    </r>
  </si>
  <si>
    <r>
      <t>e) Support data-driven decisions</t>
    </r>
    <r>
      <rPr>
        <sz val="11"/>
        <color theme="1"/>
        <rFont val="Calibri"/>
        <family val="2"/>
        <scheme val="minor"/>
      </rPr>
      <t xml:space="preserve"> by reducing reliance on intuition or assumptions</t>
    </r>
  </si>
  <si>
    <r>
      <t>f) Improve monitoring and control</t>
    </r>
    <r>
      <rPr>
        <sz val="11"/>
        <color theme="1"/>
        <rFont val="Calibri"/>
        <family val="2"/>
        <scheme val="minor"/>
      </rPr>
      <t xml:space="preserve"> by tracking progress against goals and targets</t>
    </r>
  </si>
  <si>
    <r>
      <t>g) Identify problems early</t>
    </r>
    <r>
      <rPr>
        <sz val="11"/>
        <color theme="1"/>
        <rFont val="Calibri"/>
        <family val="2"/>
        <scheme val="minor"/>
      </rPr>
      <t xml:space="preserve"> through alerts and performance deviations</t>
    </r>
  </si>
  <si>
    <r>
      <t>h) Enhance communication</t>
    </r>
    <r>
      <rPr>
        <sz val="11"/>
        <color theme="1"/>
        <rFont val="Calibri"/>
        <family val="2"/>
        <scheme val="minor"/>
      </rPr>
      <t xml:space="preserve"> by making insights easy to understand for stakeholders</t>
    </r>
  </si>
  <si>
    <t>Q8</t>
  </si>
  <si>
    <t>Create a Dashboard that includes</t>
  </si>
  <si>
    <t>a) Sales by Region (PivotTable + Chart)</t>
  </si>
  <si>
    <t>b) Product Filter (Slicer)</t>
  </si>
  <si>
    <t>c) Monthly Trend (Line Chart)</t>
  </si>
  <si>
    <t>Q9</t>
  </si>
  <si>
    <t>A) SALES BY REGION ( PIVOT TABLE + CHART )</t>
  </si>
  <si>
    <t>a) East Region</t>
  </si>
  <si>
    <t>b) West Region</t>
  </si>
  <si>
    <t>c) South Region</t>
  </si>
  <si>
    <t>d) North Region</t>
  </si>
  <si>
    <t>Answer 8 (b)</t>
  </si>
  <si>
    <t>B) PRODUCT FILTER (SLICER)</t>
  </si>
  <si>
    <t>Answer 8 ©</t>
  </si>
  <si>
    <t>C) MONTHLY TREND (LINE CHART)</t>
  </si>
  <si>
    <t>Group dates in the PivotTable into Months and calculate the average sales per month.</t>
  </si>
  <si>
    <t>Q10</t>
  </si>
  <si>
    <t>Combine Apples and Oranges into one group called Fruits and compare its sales with other products</t>
  </si>
  <si>
    <t>Average of Sales</t>
  </si>
  <si>
    <t>FRUITS</t>
  </si>
  <si>
    <t>Here FRUITS are combination of Apples and Oranges.</t>
  </si>
  <si>
    <t>So, FRUITS Sales= 4308</t>
  </si>
  <si>
    <t>Mangoes sale= 2521</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</si>
</sst>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color theme="0"/>
      <name val="Calibri"/>
      <family val="2"/>
      <scheme val="minor"/>
    </font>
    <font>
      <b/>
      <sz val="11"/>
      <color theme="1"/>
      <name val="Calibri"/>
      <family val="2"/>
      <scheme val="minor"/>
    </font>
    <font>
      <b/>
      <u/>
      <sz val="11"/>
      <color theme="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5" tint="0.59999389629810485"/>
        <bgColor indexed="64"/>
      </patternFill>
    </fill>
    <fill>
      <patternFill patternType="solid">
        <fgColor theme="7" tint="0.59999389629810485"/>
        <bgColor indexed="64"/>
      </patternFill>
    </fill>
    <fill>
      <patternFill patternType="solid">
        <fgColor theme="7" tint="0.59999389629810485"/>
        <bgColor theme="4" tint="0.79998168889431442"/>
      </patternFill>
    </fill>
    <fill>
      <patternFill patternType="solid">
        <fgColor theme="5" tint="0.59999389629810485"/>
        <bgColor theme="4" tint="0.79998168889431442"/>
      </patternFill>
    </fill>
    <fill>
      <patternFill patternType="solid">
        <fgColor theme="7" tint="-0.24994659260841701"/>
        <bgColor indexed="64"/>
      </patternFill>
    </fill>
  </fills>
  <borders count="10">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right/>
      <top/>
      <bottom style="thin">
        <color theme="4" tint="0.39997558519241921"/>
      </bottom>
      <diagonal/>
    </border>
    <border>
      <left/>
      <right/>
      <top style="thin">
        <color theme="4" tint="0.39997558519241921"/>
      </top>
      <bottom/>
      <diagonal/>
    </border>
  </borders>
  <cellStyleXfs count="1">
    <xf numFmtId="0" fontId="0" fillId="0" borderId="0"/>
  </cellStyleXfs>
  <cellXfs count="54">
    <xf numFmtId="0" fontId="0" fillId="0" borderId="0" xfId="0"/>
    <xf numFmtId="0" fontId="0" fillId="0" borderId="3" xfId="0" applyBorder="1" applyAlignment="1">
      <alignment wrapText="1"/>
    </xf>
    <xf numFmtId="22" fontId="0" fillId="0" borderId="3" xfId="0" applyNumberFormat="1" applyBorder="1" applyAlignment="1">
      <alignment wrapText="1"/>
    </xf>
    <xf numFmtId="0" fontId="2" fillId="0" borderId="4" xfId="0" applyFont="1" applyBorder="1" applyAlignment="1">
      <alignment vertical="top" wrapText="1"/>
    </xf>
    <xf numFmtId="0" fontId="2" fillId="0" borderId="5" xfId="0" applyFont="1" applyBorder="1" applyAlignment="1">
      <alignment vertical="top" wrapText="1"/>
    </xf>
    <xf numFmtId="22" fontId="0" fillId="3" borderId="3" xfId="0" applyNumberFormat="1" applyFont="1" applyFill="1" applyBorder="1" applyAlignment="1">
      <alignment wrapText="1"/>
    </xf>
    <xf numFmtId="0" fontId="0" fillId="3" borderId="3" xfId="0" applyFont="1" applyFill="1" applyBorder="1" applyAlignment="1">
      <alignment wrapText="1"/>
    </xf>
    <xf numFmtId="22" fontId="0" fillId="0" borderId="3" xfId="0" applyNumberFormat="1" applyFont="1" applyBorder="1" applyAlignment="1">
      <alignment wrapText="1"/>
    </xf>
    <xf numFmtId="0" fontId="0" fillId="0" borderId="3" xfId="0" applyFont="1" applyBorder="1" applyAlignment="1">
      <alignment wrapText="1"/>
    </xf>
    <xf numFmtId="22" fontId="0" fillId="0" borderId="6" xfId="0" applyNumberFormat="1" applyBorder="1" applyAlignment="1">
      <alignment wrapText="1"/>
    </xf>
    <xf numFmtId="0" fontId="0" fillId="0" borderId="6" xfId="0" applyBorder="1" applyAlignment="1">
      <alignment wrapText="1"/>
    </xf>
    <xf numFmtId="0" fontId="2" fillId="0" borderId="0" xfId="0" applyFont="1"/>
    <xf numFmtId="0" fontId="0" fillId="0" borderId="0" xfId="0" applyAlignment="1">
      <alignment horizontal="center"/>
    </xf>
    <xf numFmtId="0" fontId="2" fillId="4" borderId="0" xfId="0" applyFont="1" applyFill="1"/>
    <xf numFmtId="0" fontId="0" fillId="4" borderId="0" xfId="0" applyFill="1"/>
    <xf numFmtId="0" fontId="2" fillId="0" borderId="4" xfId="0" applyFont="1" applyBorder="1" applyAlignment="1">
      <alignment horizontal="center" vertical="top" wrapText="1"/>
    </xf>
    <xf numFmtId="0" fontId="2" fillId="0" borderId="5" xfId="0" applyFont="1" applyBorder="1" applyAlignment="1">
      <alignment horizontal="center" vertical="top" wrapText="1"/>
    </xf>
    <xf numFmtId="22" fontId="0" fillId="0" borderId="3" xfId="0" applyNumberFormat="1" applyBorder="1" applyAlignment="1">
      <alignment horizontal="center" wrapText="1"/>
    </xf>
    <xf numFmtId="0" fontId="0" fillId="0" borderId="3" xfId="0" applyBorder="1" applyAlignment="1">
      <alignment horizontal="center" wrapText="1"/>
    </xf>
    <xf numFmtId="22" fontId="0" fillId="0" borderId="6" xfId="0" applyNumberFormat="1" applyBorder="1" applyAlignment="1">
      <alignment horizontal="center" wrapText="1"/>
    </xf>
    <xf numFmtId="0" fontId="0" fillId="0" borderId="6" xfId="0" applyBorder="1" applyAlignment="1">
      <alignment horizontal="center" wrapText="1"/>
    </xf>
    <xf numFmtId="22" fontId="0" fillId="3" borderId="3" xfId="0" applyNumberFormat="1" applyFont="1" applyFill="1" applyBorder="1" applyAlignment="1">
      <alignment horizontal="center" wrapText="1"/>
    </xf>
    <xf numFmtId="0" fontId="0" fillId="3" borderId="3" xfId="0" applyFont="1" applyFill="1" applyBorder="1" applyAlignment="1">
      <alignment horizontal="center" wrapText="1"/>
    </xf>
    <xf numFmtId="22" fontId="0" fillId="0" borderId="3" xfId="0" applyNumberFormat="1" applyFont="1" applyBorder="1" applyAlignment="1">
      <alignment horizontal="center" wrapText="1"/>
    </xf>
    <xf numFmtId="0" fontId="0" fillId="0" borderId="3" xfId="0" applyFont="1" applyBorder="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0" fillId="4" borderId="0" xfId="0" applyFill="1" applyAlignment="1">
      <alignment horizontal="left"/>
    </xf>
    <xf numFmtId="0" fontId="0" fillId="4" borderId="0" xfId="0" applyNumberFormat="1" applyFill="1"/>
    <xf numFmtId="22" fontId="0" fillId="3" borderId="1" xfId="0" applyNumberFormat="1" applyFont="1" applyFill="1" applyBorder="1" applyAlignment="1">
      <alignment horizontal="center" wrapText="1"/>
    </xf>
    <xf numFmtId="0" fontId="1" fillId="2" borderId="3" xfId="0" applyFont="1" applyFill="1" applyBorder="1" applyAlignment="1">
      <alignment horizontal="center" vertical="top" wrapText="1"/>
    </xf>
    <xf numFmtId="0" fontId="0" fillId="3" borderId="2" xfId="0" applyFont="1" applyFill="1" applyBorder="1" applyAlignment="1">
      <alignment horizontal="center" wrapText="1"/>
    </xf>
    <xf numFmtId="0" fontId="0" fillId="0" borderId="2" xfId="0" applyFont="1" applyBorder="1" applyAlignment="1">
      <alignment horizontal="center" wrapText="1"/>
    </xf>
    <xf numFmtId="0" fontId="3" fillId="0" borderId="0" xfId="0" applyFont="1"/>
    <xf numFmtId="0" fontId="0" fillId="4" borderId="0" xfId="0" applyFill="1" applyAlignment="1">
      <alignment horizontal="center"/>
    </xf>
    <xf numFmtId="0" fontId="0" fillId="6" borderId="7" xfId="0" applyFont="1" applyFill="1" applyBorder="1" applyAlignment="1">
      <alignment horizontal="center" wrapText="1"/>
    </xf>
    <xf numFmtId="0" fontId="0" fillId="5" borderId="0" xfId="0" applyFill="1" applyAlignment="1">
      <alignment horizontal="center"/>
    </xf>
    <xf numFmtId="0" fontId="0" fillId="0" borderId="0" xfId="0" applyFont="1"/>
    <xf numFmtId="22" fontId="0" fillId="0" borderId="0" xfId="0" applyNumberFormat="1" applyAlignment="1">
      <alignment horizontal="left"/>
    </xf>
    <xf numFmtId="0" fontId="3" fillId="0" borderId="0" xfId="0" applyFont="1" applyAlignment="1"/>
    <xf numFmtId="0" fontId="0" fillId="4" borderId="0" xfId="0" applyFill="1" applyAlignment="1"/>
    <xf numFmtId="0" fontId="0" fillId="0" borderId="0" xfId="0" applyAlignment="1"/>
    <xf numFmtId="0" fontId="0" fillId="0" borderId="0" xfId="0" applyAlignment="1">
      <alignment horizontal="left" vertical="center" indent="1"/>
    </xf>
    <xf numFmtId="0" fontId="2" fillId="0" borderId="0" xfId="0" applyFont="1" applyAlignment="1">
      <alignment horizontal="left" vertical="center" indent="1"/>
    </xf>
    <xf numFmtId="0" fontId="2" fillId="0" borderId="0" xfId="0" applyFont="1" applyAlignment="1">
      <alignment horizontal="left"/>
    </xf>
    <xf numFmtId="0" fontId="2" fillId="5" borderId="0" xfId="0" applyFont="1" applyFill="1"/>
    <xf numFmtId="0" fontId="2" fillId="3" borderId="8" xfId="0" applyFont="1" applyFill="1" applyBorder="1"/>
    <xf numFmtId="0" fontId="2" fillId="3" borderId="9" xfId="0" applyNumberFormat="1" applyFont="1" applyFill="1" applyBorder="1"/>
    <xf numFmtId="0" fontId="0" fillId="5" borderId="0" xfId="0" applyFill="1"/>
    <xf numFmtId="0" fontId="2" fillId="7" borderId="8" xfId="0" applyFont="1" applyFill="1" applyBorder="1"/>
    <xf numFmtId="0" fontId="2" fillId="7" borderId="9" xfId="0" applyNumberFormat="1" applyFont="1" applyFill="1" applyBorder="1"/>
    <xf numFmtId="0" fontId="0" fillId="0" borderId="0" xfId="0" applyAlignment="1">
      <alignment horizontal="left" indent="1"/>
    </xf>
    <xf numFmtId="0" fontId="0" fillId="8" borderId="0" xfId="0" applyNumberFormat="1" applyFill="1" applyAlignment="1">
      <alignment horizontal="left"/>
    </xf>
  </cellXfs>
  <cellStyles count="1">
    <cellStyle name="Normal" xfId="0" builtinId="0"/>
  </cellStyles>
  <dxfs count="119">
    <dxf>
      <fill>
        <patternFill patternType="solid">
          <bgColor theme="7" tint="-0.24994659260841701"/>
        </patternFill>
      </fill>
    </dxf>
    <dxf>
      <fill>
        <patternFill patternType="solid">
          <bgColor theme="7" tint="-0.24994659260841701"/>
        </patternFill>
      </fill>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bottom style="medium">
          <color rgb="FF000000"/>
        </bottom>
      </border>
    </dxf>
    <dxf>
      <border outline="0">
        <top style="medium">
          <color rgb="FF000000"/>
        </top>
        <bottom style="medium">
          <color rgb="FFCCCCCC"/>
        </bottom>
      </border>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bottom style="medium">
          <color rgb="FF000000"/>
        </bottom>
      </border>
    </dxf>
    <dxf>
      <border outline="0">
        <top style="medium">
          <color rgb="FF000000"/>
        </top>
        <bottom style="medium">
          <color rgb="FFCCCCCC"/>
        </bottom>
      </border>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bottom style="medium">
          <color rgb="FF000000"/>
        </bottom>
      </border>
    </dxf>
    <dxf>
      <border outline="0">
        <top style="medium">
          <color rgb="FF000000"/>
        </top>
        <bottom style="medium">
          <color rgb="FFCCCCCC"/>
        </bottom>
      </border>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font>
        <color rgb="FF9C6500"/>
      </font>
      <fill>
        <patternFill>
          <bgColor rgb="FFFFEB9C"/>
        </patternFill>
      </fill>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bottom style="medium">
          <color rgb="FF000000"/>
        </bottom>
      </border>
    </dxf>
    <dxf>
      <border outline="0">
        <top style="medium">
          <color rgb="FF000000"/>
        </top>
        <bottom style="medium">
          <color rgb="FFCCCCCC"/>
        </bottom>
      </border>
    </dxf>
    <dxf>
      <alignment horizontal="center" vertical="bottom"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alignment horizontal="center"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alignment horizontal="center"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alignment horizontal="center"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alignment horizontal="center"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dd/mm/yyyy\ hh:mm"/>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numFmt numFmtId="27" formatCode="dd/mm/yyyy\ hh:mm"/>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alignment horizontal="center"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scheme val="minor"/>
      </font>
      <alignment horizontal="center" vertical="top" textRotation="0" wrapText="1" indent="0" justifyLastLine="0" shrinkToFit="0" readingOrder="0"/>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dd/mm/yyyy\ hh:mm"/>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alignment horizontal="general" vertical="bottom" textRotation="0" wrapText="1"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pivot charts.xlsx]Answer 5!PivotTable14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'Answer 5'!$K$4</c:f>
              <c:strCache>
                <c:ptCount val="1"/>
                <c:pt idx="0">
                  <c:v>Total</c:v>
                </c:pt>
              </c:strCache>
            </c:strRef>
          </c:tx>
          <c:spPr>
            <a:solidFill>
              <a:schemeClr val="accent1"/>
            </a:solidFill>
            <a:ln>
              <a:noFill/>
            </a:ln>
            <a:effectLst/>
          </c:spPr>
          <c:invertIfNegative val="0"/>
          <c:cat>
            <c:strRef>
              <c:f>'Answer 5'!$J$5:$J$11</c:f>
              <c:strCache>
                <c:ptCount val="6"/>
                <c:pt idx="0">
                  <c:v>Jan</c:v>
                </c:pt>
                <c:pt idx="1">
                  <c:v>Feb</c:v>
                </c:pt>
                <c:pt idx="2">
                  <c:v>Mar</c:v>
                </c:pt>
                <c:pt idx="3">
                  <c:v>Apr</c:v>
                </c:pt>
                <c:pt idx="4">
                  <c:v>May</c:v>
                </c:pt>
                <c:pt idx="5">
                  <c:v>Jun</c:v>
                </c:pt>
              </c:strCache>
            </c:strRef>
          </c:cat>
          <c:val>
            <c:numRef>
              <c:f>'Answer 5'!$K$5:$K$11</c:f>
              <c:numCache>
                <c:formatCode>General</c:formatCode>
                <c:ptCount val="6"/>
                <c:pt idx="0">
                  <c:v>1281</c:v>
                </c:pt>
                <c:pt idx="1">
                  <c:v>1032</c:v>
                </c:pt>
                <c:pt idx="2">
                  <c:v>958</c:v>
                </c:pt>
                <c:pt idx="3">
                  <c:v>1155</c:v>
                </c:pt>
                <c:pt idx="4">
                  <c:v>1286</c:v>
                </c:pt>
                <c:pt idx="5">
                  <c:v>1117</c:v>
                </c:pt>
              </c:numCache>
            </c:numRef>
          </c:val>
        </c:ser>
        <c:dLbls>
          <c:showLegendKey val="0"/>
          <c:showVal val="0"/>
          <c:showCatName val="0"/>
          <c:showSerName val="0"/>
          <c:showPercent val="0"/>
          <c:showBubbleSize val="0"/>
        </c:dLbls>
        <c:gapWidth val="219"/>
        <c:overlap val="-27"/>
        <c:axId val="367590712"/>
        <c:axId val="367592672"/>
      </c:barChart>
      <c:catAx>
        <c:axId val="367590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92672"/>
        <c:crosses val="autoZero"/>
        <c:auto val="1"/>
        <c:lblAlgn val="ctr"/>
        <c:lblOffset val="100"/>
        <c:noMultiLvlLbl val="0"/>
      </c:catAx>
      <c:valAx>
        <c:axId val="367592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907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pivot charts.xlsx]Answer 5!PivotTable14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'Answer 5'!$K$4</c:f>
              <c:strCache>
                <c:ptCount val="1"/>
                <c:pt idx="0">
                  <c:v>Total</c:v>
                </c:pt>
              </c:strCache>
            </c:strRef>
          </c:tx>
          <c:spPr>
            <a:ln w="28575" cap="rnd">
              <a:solidFill>
                <a:schemeClr val="accent1"/>
              </a:solidFill>
              <a:round/>
            </a:ln>
            <a:effectLst/>
          </c:spPr>
          <c:marker>
            <c:symbol val="none"/>
          </c:marker>
          <c:cat>
            <c:strRef>
              <c:f>'Answer 5'!$J$5:$J$11</c:f>
              <c:strCache>
                <c:ptCount val="6"/>
                <c:pt idx="0">
                  <c:v>Jan</c:v>
                </c:pt>
                <c:pt idx="1">
                  <c:v>Feb</c:v>
                </c:pt>
                <c:pt idx="2">
                  <c:v>Mar</c:v>
                </c:pt>
                <c:pt idx="3">
                  <c:v>Apr</c:v>
                </c:pt>
                <c:pt idx="4">
                  <c:v>May</c:v>
                </c:pt>
                <c:pt idx="5">
                  <c:v>Jun</c:v>
                </c:pt>
              </c:strCache>
            </c:strRef>
          </c:cat>
          <c:val>
            <c:numRef>
              <c:f>'Answer 5'!$K$5:$K$11</c:f>
              <c:numCache>
                <c:formatCode>General</c:formatCode>
                <c:ptCount val="6"/>
                <c:pt idx="0">
                  <c:v>1281</c:v>
                </c:pt>
                <c:pt idx="1">
                  <c:v>1032</c:v>
                </c:pt>
                <c:pt idx="2">
                  <c:v>958</c:v>
                </c:pt>
                <c:pt idx="3">
                  <c:v>1155</c:v>
                </c:pt>
                <c:pt idx="4">
                  <c:v>1286</c:v>
                </c:pt>
                <c:pt idx="5">
                  <c:v>1117</c:v>
                </c:pt>
              </c:numCache>
            </c:numRef>
          </c:val>
          <c:smooth val="0"/>
        </c:ser>
        <c:dLbls>
          <c:showLegendKey val="0"/>
          <c:showVal val="0"/>
          <c:showCatName val="0"/>
          <c:showSerName val="0"/>
          <c:showPercent val="0"/>
          <c:showBubbleSize val="0"/>
        </c:dLbls>
        <c:smooth val="0"/>
        <c:axId val="367595416"/>
        <c:axId val="367593456"/>
      </c:lineChart>
      <c:catAx>
        <c:axId val="367595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93456"/>
        <c:crosses val="autoZero"/>
        <c:auto val="1"/>
        <c:lblAlgn val="ctr"/>
        <c:lblOffset val="100"/>
        <c:noMultiLvlLbl val="0"/>
      </c:catAx>
      <c:valAx>
        <c:axId val="36759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95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pivot charts.xlsx]Answer 6(b)!PivotTable15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'Answer 6(b)'!$B$3</c:f>
              <c:strCache>
                <c:ptCount val="1"/>
                <c:pt idx="0">
                  <c:v>Total</c:v>
                </c:pt>
              </c:strCache>
            </c:strRef>
          </c:tx>
          <c:spPr>
            <a:ln w="28575" cap="rnd">
              <a:solidFill>
                <a:schemeClr val="accent1"/>
              </a:solidFill>
              <a:round/>
            </a:ln>
            <a:effectLst/>
          </c:spPr>
          <c:marker>
            <c:symbol val="none"/>
          </c:marker>
          <c:cat>
            <c:strRef>
              <c:f>'Answer 6(b)'!$A$4:$A$7</c:f>
              <c:strCache>
                <c:ptCount val="3"/>
                <c:pt idx="0">
                  <c:v>Apples</c:v>
                </c:pt>
                <c:pt idx="1">
                  <c:v>Mangoes</c:v>
                </c:pt>
                <c:pt idx="2">
                  <c:v>Oranges</c:v>
                </c:pt>
              </c:strCache>
            </c:strRef>
          </c:cat>
          <c:val>
            <c:numRef>
              <c:f>'Answer 6(b)'!$B$4:$B$7</c:f>
              <c:numCache>
                <c:formatCode>General</c:formatCode>
                <c:ptCount val="3"/>
                <c:pt idx="0">
                  <c:v>1805</c:v>
                </c:pt>
                <c:pt idx="1">
                  <c:v>2521</c:v>
                </c:pt>
                <c:pt idx="2">
                  <c:v>2503</c:v>
                </c:pt>
              </c:numCache>
            </c:numRef>
          </c:val>
          <c:smooth val="0"/>
        </c:ser>
        <c:dLbls>
          <c:showLegendKey val="0"/>
          <c:showVal val="0"/>
          <c:showCatName val="0"/>
          <c:showSerName val="0"/>
          <c:showPercent val="0"/>
          <c:showBubbleSize val="0"/>
        </c:dLbls>
        <c:smooth val="0"/>
        <c:axId val="367593064"/>
        <c:axId val="367595808"/>
      </c:lineChart>
      <c:catAx>
        <c:axId val="367593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95808"/>
        <c:crosses val="autoZero"/>
        <c:auto val="1"/>
        <c:lblAlgn val="ctr"/>
        <c:lblOffset val="100"/>
        <c:noMultiLvlLbl val="0"/>
      </c:catAx>
      <c:valAx>
        <c:axId val="36759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75930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pivot charts.xlsx] Answer 8(a)!PivotTable2</c:name>
    <c:fmtId val="0"/>
  </c:pivotSource>
  <c:chart>
    <c:title>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15:layout/>
            </c:ext>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Answer 8(a)'!$H$18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dPt>
          <c:dPt>
            <c:idx val="1"/>
            <c:bubble3D val="0"/>
            <c:spPr>
              <a:solidFill>
                <a:schemeClr val="accent2"/>
              </a:solidFill>
              <a:ln>
                <a:noFill/>
              </a:ln>
              <a:effectLst>
                <a:outerShdw blurRad="254000" sx="102000" sy="102000" algn="ctr" rotWithShape="0">
                  <a:prstClr val="black">
                    <a:alpha val="20000"/>
                  </a:prstClr>
                </a:outerShdw>
              </a:effectLst>
              <a:sp3d/>
            </c:spPr>
          </c:dPt>
          <c:dPt>
            <c:idx val="2"/>
            <c:bubble3D val="0"/>
            <c:spPr>
              <a:solidFill>
                <a:schemeClr val="accent3"/>
              </a:solidFill>
              <a:ln>
                <a:noFill/>
              </a:ln>
              <a:effectLst>
                <a:outerShdw blurRad="254000" sx="102000" sy="102000" algn="ctr" rotWithShape="0">
                  <a:prstClr val="black">
                    <a:alpha val="20000"/>
                  </a:prstClr>
                </a:outerShdw>
              </a:effectLst>
              <a:sp3d/>
            </c:spPr>
          </c:dPt>
          <c:dPt>
            <c:idx val="3"/>
            <c:bubble3D val="0"/>
            <c:spPr>
              <a:solidFill>
                <a:schemeClr val="accent4"/>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 Answer 8(a)'!$G$19:$G$23</c:f>
              <c:strCache>
                <c:ptCount val="4"/>
                <c:pt idx="0">
                  <c:v>East</c:v>
                </c:pt>
                <c:pt idx="1">
                  <c:v>North</c:v>
                </c:pt>
                <c:pt idx="2">
                  <c:v>South</c:v>
                </c:pt>
                <c:pt idx="3">
                  <c:v>West</c:v>
                </c:pt>
              </c:strCache>
            </c:strRef>
          </c:cat>
          <c:val>
            <c:numRef>
              <c:f>' Answer 8(a)'!$H$19:$H$23</c:f>
              <c:numCache>
                <c:formatCode>General</c:formatCode>
                <c:ptCount val="4"/>
                <c:pt idx="0">
                  <c:v>467</c:v>
                </c:pt>
                <c:pt idx="1">
                  <c:v>347</c:v>
                </c:pt>
                <c:pt idx="2">
                  <c:v>2518</c:v>
                </c:pt>
                <c:pt idx="3">
                  <c:v>3497</c:v>
                </c:pt>
              </c:numCache>
            </c:numRef>
          </c:val>
        </c:ser>
        <c:dLbls>
          <c:dLblPos val="ctr"/>
          <c:showLegendKey val="0"/>
          <c:showVal val="1"/>
          <c:showCatName val="0"/>
          <c:showSerName val="0"/>
          <c:showPercent val="0"/>
          <c:showBubbleSize val="0"/>
          <c:showLeaderLines val="1"/>
        </c:dLbls>
      </c:pie3D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pivot charts.xlsx]Answer 8(c)!PivotTable4</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'Answer 8(c)'!$I$6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 8(c)'!$H$7:$H$13</c:f>
              <c:strCache>
                <c:ptCount val="6"/>
                <c:pt idx="0">
                  <c:v>Jan</c:v>
                </c:pt>
                <c:pt idx="1">
                  <c:v>Feb</c:v>
                </c:pt>
                <c:pt idx="2">
                  <c:v>Mar</c:v>
                </c:pt>
                <c:pt idx="3">
                  <c:v>Apr</c:v>
                </c:pt>
                <c:pt idx="4">
                  <c:v>May</c:v>
                </c:pt>
                <c:pt idx="5">
                  <c:v>Jun</c:v>
                </c:pt>
              </c:strCache>
            </c:strRef>
          </c:cat>
          <c:val>
            <c:numRef>
              <c:f>'Answer 8(c)'!$I$7:$I$13</c:f>
              <c:numCache>
                <c:formatCode>General</c:formatCode>
                <c:ptCount val="6"/>
                <c:pt idx="0">
                  <c:v>1281</c:v>
                </c:pt>
                <c:pt idx="1">
                  <c:v>1032</c:v>
                </c:pt>
                <c:pt idx="2">
                  <c:v>958</c:v>
                </c:pt>
                <c:pt idx="3">
                  <c:v>1155</c:v>
                </c:pt>
                <c:pt idx="4">
                  <c:v>1286</c:v>
                </c:pt>
                <c:pt idx="5">
                  <c:v>1117</c:v>
                </c:pt>
              </c:numCache>
            </c:numRef>
          </c:val>
          <c:smooth val="0"/>
        </c:ser>
        <c:dLbls>
          <c:dLblPos val="t"/>
          <c:showLegendKey val="0"/>
          <c:showVal val="1"/>
          <c:showCatName val="0"/>
          <c:showSerName val="0"/>
          <c:showPercent val="0"/>
          <c:showBubbleSize val="0"/>
        </c:dLbls>
        <c:smooth val="0"/>
        <c:axId val="413356176"/>
        <c:axId val="413357744"/>
      </c:lineChart>
      <c:catAx>
        <c:axId val="413356176"/>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57744"/>
        <c:crosses val="autoZero"/>
        <c:auto val="1"/>
        <c:lblAlgn val="ctr"/>
        <c:lblOffset val="100"/>
        <c:noMultiLvlLbl val="0"/>
      </c:catAx>
      <c:valAx>
        <c:axId val="413357744"/>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356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 pivot charts.xlsx]Answer 10!PivotTable7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'Answer 10'!$H$7</c:f>
              <c:strCache>
                <c:ptCount val="1"/>
                <c:pt idx="0">
                  <c:v>Total</c:v>
                </c:pt>
              </c:strCache>
            </c:strRef>
          </c:tx>
          <c:spPr>
            <a:solidFill>
              <a:schemeClr val="accent1"/>
            </a:solidFill>
            <a:ln>
              <a:noFill/>
            </a:ln>
            <a:effectLst/>
            <a:sp3d/>
          </c:spPr>
          <c:invertIfNegative val="0"/>
          <c:cat>
            <c:multiLvlStrRef>
              <c:f>'Answer 10'!$G$8:$G$11</c:f>
              <c:multiLvlStrCache>
                <c:ptCount val="2"/>
                <c:lvl>
                  <c:pt idx="1">
                    <c:v>Mangoes</c:v>
                  </c:pt>
                </c:lvl>
                <c:lvl>
                  <c:pt idx="0">
                    <c:v>FRUITS</c:v>
                  </c:pt>
                  <c:pt idx="1">
                    <c:v>Mangoes</c:v>
                  </c:pt>
                </c:lvl>
              </c:multiLvlStrCache>
            </c:multiLvlStrRef>
          </c:cat>
          <c:val>
            <c:numRef>
              <c:f>'Answer 10'!$H$8:$H$11</c:f>
              <c:numCache>
                <c:formatCode>General</c:formatCode>
                <c:ptCount val="2"/>
                <c:pt idx="0">
                  <c:v>4308</c:v>
                </c:pt>
                <c:pt idx="1">
                  <c:v>2521</c:v>
                </c:pt>
              </c:numCache>
            </c:numRef>
          </c:val>
        </c:ser>
        <c:dLbls>
          <c:showLegendKey val="0"/>
          <c:showVal val="0"/>
          <c:showCatName val="0"/>
          <c:showSerName val="0"/>
          <c:showPercent val="0"/>
          <c:showBubbleSize val="0"/>
        </c:dLbls>
        <c:gapWidth val="150"/>
        <c:shape val="box"/>
        <c:axId val="410470824"/>
        <c:axId val="410471216"/>
        <c:axId val="0"/>
      </c:bar3DChart>
      <c:catAx>
        <c:axId val="410470824"/>
        <c:scaling>
          <c:orientation val="minMax"/>
        </c:scaling>
        <c:delete val="0"/>
        <c:axPos val="b"/>
        <c:title>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71216"/>
        <c:crosses val="autoZero"/>
        <c:auto val="1"/>
        <c:lblAlgn val="ctr"/>
        <c:lblOffset val="100"/>
        <c:noMultiLvlLbl val="0"/>
      </c:catAx>
      <c:valAx>
        <c:axId val="410471216"/>
        <c:scaling>
          <c:orientation val="minMax"/>
        </c:scaling>
        <c:delete val="0"/>
        <c:axPos val="l"/>
        <c:majorGridlines>
          <c:spPr>
            <a:ln w="9525" cap="flat" cmpd="sng" algn="ctr">
              <a:solidFill>
                <a:schemeClr val="tx1">
                  <a:lumMod val="15000"/>
                  <a:lumOff val="85000"/>
                </a:schemeClr>
              </a:solidFill>
              <a:round/>
            </a:ln>
            <a:effectLst/>
          </c:spPr>
        </c:majorGridlines>
        <c:title>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470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5</xdr:col>
      <xdr:colOff>57150</xdr:colOff>
      <xdr:row>10</xdr:row>
      <xdr:rowOff>195262</xdr:rowOff>
    </xdr:from>
    <xdr:to>
      <xdr:col>12</xdr:col>
      <xdr:colOff>361950</xdr:colOff>
      <xdr:row>24</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857250</xdr:colOff>
      <xdr:row>25</xdr:row>
      <xdr:rowOff>33337</xdr:rowOff>
    </xdr:from>
    <xdr:to>
      <xdr:col>11</xdr:col>
      <xdr:colOff>419100</xdr:colOff>
      <xdr:row>39</xdr:row>
      <xdr:rowOff>109537</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161925</xdr:colOff>
      <xdr:row>0</xdr:row>
      <xdr:rowOff>14287</xdr:rowOff>
    </xdr:from>
    <xdr:to>
      <xdr:col>9</xdr:col>
      <xdr:colOff>466725</xdr:colOff>
      <xdr:row>14</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152400</xdr:colOff>
      <xdr:row>5</xdr:row>
      <xdr:rowOff>57150</xdr:rowOff>
    </xdr:from>
    <xdr:to>
      <xdr:col>8</xdr:col>
      <xdr:colOff>152400</xdr:colOff>
      <xdr:row>18</xdr:row>
      <xdr:rowOff>104775</xdr:rowOff>
    </xdr:to>
    <mc:AlternateContent xmlns:mc="http://schemas.openxmlformats.org/markup-compatibility/2006" xmlns:a14="http://schemas.microsoft.com/office/drawing/2010/main">
      <mc:Choice Requires="a14">
        <xdr:graphicFrame macro="">
          <xdr:nvGraphicFramePr>
            <xdr:cNvPr id="3" name="Based on product"/>
            <xdr:cNvGraphicFramePr/>
          </xdr:nvGraphicFramePr>
          <xdr:xfrm>
            <a:off x="0" y="0"/>
            <a:ext cx="0" cy="0"/>
          </xdr:xfrm>
          <a:graphic>
            <a:graphicData uri="http://schemas.microsoft.com/office/drawing/2010/slicer">
              <sle:slicer xmlns:sle="http://schemas.microsoft.com/office/drawing/2010/slicer" name="Based on product"/>
            </a:graphicData>
          </a:graphic>
        </xdr:graphicFrame>
      </mc:Choice>
      <mc:Fallback xmlns="">
        <xdr:sp macro="" textlink="">
          <xdr:nvSpPr>
            <xdr:cNvPr id="0" name=""/>
            <xdr:cNvSpPr>
              <a:spLocks noTextEdit="1"/>
            </xdr:cNvSpPr>
          </xdr:nvSpPr>
          <xdr:spPr>
            <a:xfrm>
              <a:off x="4248150" y="1009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180975</xdr:colOff>
      <xdr:row>23</xdr:row>
      <xdr:rowOff>52387</xdr:rowOff>
    </xdr:from>
    <xdr:to>
      <xdr:col>8</xdr:col>
      <xdr:colOff>581025</xdr:colOff>
      <xdr:row>37</xdr:row>
      <xdr:rowOff>100012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190500</xdr:colOff>
      <xdr:row>1</xdr:row>
      <xdr:rowOff>180975</xdr:rowOff>
    </xdr:from>
    <xdr:to>
      <xdr:col>12</xdr:col>
      <xdr:colOff>190500</xdr:colOff>
      <xdr:row>14</xdr:row>
      <xdr:rowOff>114300</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172325" y="371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238125</xdr:colOff>
      <xdr:row>13</xdr:row>
      <xdr:rowOff>42862</xdr:rowOff>
    </xdr:from>
    <xdr:to>
      <xdr:col>12</xdr:col>
      <xdr:colOff>76200</xdr:colOff>
      <xdr:row>27</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314325</xdr:colOff>
      <xdr:row>11</xdr:row>
      <xdr:rowOff>42862</xdr:rowOff>
    </xdr:from>
    <xdr:to>
      <xdr:col>8</xdr:col>
      <xdr:colOff>219075</xdr:colOff>
      <xdr:row>25</xdr:row>
      <xdr:rowOff>4762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refreshedBy="SONY" refreshedDate="46008.78888576389" createdVersion="5" refreshedVersion="5" minRefreshableVersion="3" recordCount="20">
  <cacheSource type="worksheet">
    <worksheetSource name="Table13"/>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SONY" refreshedDate="46008.817815972223" createdVersion="5" refreshedVersion="5" minRefreshableVersion="3" recordCount="20">
  <cacheSource type="worksheet">
    <worksheetSource name="Table16"/>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01-01-2024"/>
          <s v="Jan"/>
          <s v="Feb"/>
          <s v="Mar"/>
          <s v="Apr"/>
          <s v="May"/>
          <s v="Jun"/>
          <s v="Jul"/>
          <s v="Aug"/>
          <s v="Sep"/>
          <s v="Oct"/>
          <s v="Nov"/>
          <s v="Dec"/>
          <s v="&gt;01-07-2024"/>
        </groupItems>
      </fieldGroup>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SONY" refreshedDate="46008.824150810186" createdVersion="5" refreshedVersion="5" minRefreshableVersion="3" recordCount="20">
  <cacheSource type="worksheet">
    <worksheetSource ref="I4:N24" sheet="Answer 6(a)"/>
  </cacheSource>
  <cacheFields count="6">
    <cacheField name="Filtering:-" numFmtId="0">
      <sharedItems containsNonDate="0" containsString="0" containsBlank="1"/>
    </cacheField>
    <cacheField name="Based On Date" numFmtId="22">
      <sharedItems containsSemiMixedTypes="0" containsNonDate="0" containsDate="1" containsString="0" minDate="2024-01-01T00:00:00" maxDate="2024-07-01T00:00:00"/>
    </cacheField>
    <cacheField name="Based On Region" numFmtId="0">
      <sharedItems/>
    </cacheField>
    <cacheField name="Based on product" numFmtId="0">
      <sharedItems count="3">
        <s v="Mangoes"/>
        <s v="Oranges"/>
        <s v="Apples"/>
      </sharedItems>
    </cacheField>
    <cacheField name="Based on Sales" numFmtId="0">
      <sharedItems containsSemiMixedTypes="0" containsString="0" containsNumber="1" containsInteger="1" minValue="53" maxValue="497"/>
    </cacheField>
    <cacheField name="Based on 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1"/>
    </ext>
  </extLst>
</pivotCacheDefinition>
</file>

<file path=xl/pivotCache/pivotCacheDefinition4.xml><?xml version="1.0" encoding="utf-8"?>
<pivotCacheDefinition xmlns="http://schemas.openxmlformats.org/spreadsheetml/2006/main" xmlns:r="http://schemas.openxmlformats.org/officeDocument/2006/relationships" r:id="rId1" refreshedBy="SONY" refreshedDate="46009.923884143522" createdVersion="5" refreshedVersion="5" minRefreshableVersion="3" recordCount="20">
  <cacheSource type="worksheet">
    <worksheetSource name="Table178"/>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2"/>
    </ext>
  </extLst>
</pivotCacheDefinition>
</file>

<file path=xl/pivotCache/pivotCacheDefinition5.xml><?xml version="1.0" encoding="utf-8"?>
<pivotCacheDefinition xmlns="http://schemas.openxmlformats.org/spreadsheetml/2006/main" xmlns:r="http://schemas.openxmlformats.org/officeDocument/2006/relationships" r:id="rId1" refreshedBy="SONY" refreshedDate="46009.931899189818" createdVersion="5" refreshedVersion="5" minRefreshableVersion="3" recordCount="20">
  <cacheSource type="worksheet">
    <worksheetSource name="Table178910"/>
  </cacheSource>
  <cacheFields count="5">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base="0">
        <rangePr groupBy="months" startDate="2024-01-01T00:00:00" endDate="2024-07-01T00:00:00"/>
        <groupItems count="14">
          <s v="&lt;01-01-2024"/>
          <s v="Jan"/>
          <s v="Feb"/>
          <s v="Mar"/>
          <s v="Apr"/>
          <s v="May"/>
          <s v="Jun"/>
          <s v="Jul"/>
          <s v="Aug"/>
          <s v="Sep"/>
          <s v="Oct"/>
          <s v="Nov"/>
          <s v="Dec"/>
          <s v="&gt;01-07-2024"/>
        </groupItems>
      </fieldGroup>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SONY" refreshedDate="46009.944368287041" createdVersion="5" refreshedVersion="5" minRefreshableVersion="3" recordCount="20">
  <cacheSource type="worksheet">
    <worksheetSource name="Table17891012"/>
  </cacheSource>
  <cacheFields count="6">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fieldGroup par="5"/>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count="20">
  <r>
    <m/>
    <d v="2024-01-01T00:00:00"/>
    <s v="West"/>
    <x v="0"/>
    <n v="456"/>
    <n v="93"/>
  </r>
  <r>
    <m/>
    <d v="2024-01-10T12:37:54"/>
    <s v="South"/>
    <x v="1"/>
    <n v="348"/>
    <n v="56"/>
  </r>
  <r>
    <m/>
    <d v="2024-01-20T01:15:47"/>
    <s v="South"/>
    <x v="0"/>
    <n v="247"/>
    <n v="76"/>
  </r>
  <r>
    <m/>
    <d v="2024-01-29T13:53:41"/>
    <s v="West"/>
    <x v="2"/>
    <n v="230"/>
    <n v="37"/>
  </r>
  <r>
    <m/>
    <d v="2024-02-08T02:31:35"/>
    <s v="West"/>
    <x v="0"/>
    <n v="281"/>
    <n v="50"/>
  </r>
  <r>
    <m/>
    <d v="2024-02-17T15:09:28"/>
    <s v="West"/>
    <x v="1"/>
    <n v="334"/>
    <n v="52"/>
  </r>
  <r>
    <m/>
    <d v="2024-02-27T03:47:22"/>
    <s v="South"/>
    <x v="2"/>
    <n v="417"/>
    <n v="29"/>
  </r>
  <r>
    <m/>
    <d v="2024-03-07T16:25:16"/>
    <s v="West"/>
    <x v="2"/>
    <n v="441"/>
    <n v="44"/>
  </r>
  <r>
    <m/>
    <d v="2024-03-17T05:03:09"/>
    <s v="South"/>
    <x v="0"/>
    <n v="76"/>
    <n v="63"/>
  </r>
  <r>
    <m/>
    <d v="2024-03-26T17:41:03"/>
    <s v="West"/>
    <x v="1"/>
    <n v="441"/>
    <n v="79"/>
  </r>
  <r>
    <m/>
    <d v="2024-04-05T06:18:57"/>
    <s v="South"/>
    <x v="0"/>
    <n v="205"/>
    <n v="23"/>
  </r>
  <r>
    <m/>
    <d v="2024-04-14T18:56:51"/>
    <s v="West"/>
    <x v="1"/>
    <n v="483"/>
    <n v="97"/>
  </r>
  <r>
    <m/>
    <d v="2024-04-24T07:34:44"/>
    <s v="East"/>
    <x v="0"/>
    <n v="467"/>
    <n v="97"/>
  </r>
  <r>
    <m/>
    <d v="2024-05-03T20:12:38"/>
    <s v="West"/>
    <x v="0"/>
    <n v="380"/>
    <n v="92"/>
  </r>
  <r>
    <m/>
    <d v="2024-05-13T08:50:32"/>
    <s v="South"/>
    <x v="1"/>
    <n v="497"/>
    <n v="71"/>
  </r>
  <r>
    <m/>
    <d v="2024-05-22T21:28:25"/>
    <s v="South"/>
    <x v="0"/>
    <n v="409"/>
    <n v="81"/>
  </r>
  <r>
    <m/>
    <d v="2024-06-01T10:06:19"/>
    <s v="West"/>
    <x v="1"/>
    <n v="53"/>
    <n v="45"/>
  </r>
  <r>
    <m/>
    <d v="2024-06-10T22:44:13"/>
    <s v="West"/>
    <x v="2"/>
    <n v="398"/>
    <n v="33"/>
  </r>
  <r>
    <m/>
    <d v="2024-06-20T11:22:06"/>
    <s v="North"/>
    <x v="1"/>
    <n v="347"/>
    <n v="35"/>
  </r>
  <r>
    <m/>
    <d v="2024-06-30T00:00:00"/>
    <s v="South"/>
    <x v="2"/>
    <n v="319"/>
    <n v="45"/>
  </r>
</pivotCacheRecords>
</file>

<file path=xl/pivotCache/pivotCacheRecords4.xml><?xml version="1.0" encoding="utf-8"?>
<pivotCacheRecords xmlns="http://schemas.openxmlformats.org/spreadsheetml/2006/main" xmlns:r="http://schemas.openxmlformats.org/officeDocument/2006/relationships" count="20">
  <r>
    <d v="2024-01-01T00:00:00"/>
    <x v="0"/>
    <x v="0"/>
    <n v="456"/>
    <n v="93"/>
  </r>
  <r>
    <d v="2024-01-10T12:37:54"/>
    <x v="1"/>
    <x v="1"/>
    <n v="348"/>
    <n v="56"/>
  </r>
  <r>
    <d v="2024-01-20T01:15:47"/>
    <x v="1"/>
    <x v="0"/>
    <n v="247"/>
    <n v="76"/>
  </r>
  <r>
    <d v="2024-01-29T13:53:41"/>
    <x v="0"/>
    <x v="2"/>
    <n v="230"/>
    <n v="37"/>
  </r>
  <r>
    <d v="2024-02-08T02:31:35"/>
    <x v="0"/>
    <x v="0"/>
    <n v="281"/>
    <n v="50"/>
  </r>
  <r>
    <d v="2024-02-17T15:09:28"/>
    <x v="0"/>
    <x v="1"/>
    <n v="334"/>
    <n v="52"/>
  </r>
  <r>
    <d v="2024-02-27T03:47:22"/>
    <x v="1"/>
    <x v="2"/>
    <n v="417"/>
    <n v="29"/>
  </r>
  <r>
    <d v="2024-03-07T16:25:16"/>
    <x v="0"/>
    <x v="2"/>
    <n v="441"/>
    <n v="44"/>
  </r>
  <r>
    <d v="2024-03-17T05:03:09"/>
    <x v="1"/>
    <x v="0"/>
    <n v="76"/>
    <n v="63"/>
  </r>
  <r>
    <d v="2024-03-26T17:41:03"/>
    <x v="0"/>
    <x v="1"/>
    <n v="441"/>
    <n v="79"/>
  </r>
  <r>
    <d v="2024-04-05T06:18:57"/>
    <x v="1"/>
    <x v="0"/>
    <n v="205"/>
    <n v="23"/>
  </r>
  <r>
    <d v="2024-04-14T18:56:51"/>
    <x v="0"/>
    <x v="1"/>
    <n v="483"/>
    <n v="97"/>
  </r>
  <r>
    <d v="2024-04-24T07:34:44"/>
    <x v="2"/>
    <x v="0"/>
    <n v="467"/>
    <n v="97"/>
  </r>
  <r>
    <d v="2024-05-03T20:12:38"/>
    <x v="0"/>
    <x v="0"/>
    <n v="380"/>
    <n v="92"/>
  </r>
  <r>
    <d v="2024-05-13T08:50:32"/>
    <x v="1"/>
    <x v="1"/>
    <n v="497"/>
    <n v="71"/>
  </r>
  <r>
    <d v="2024-05-22T21:28:25"/>
    <x v="1"/>
    <x v="0"/>
    <n v="409"/>
    <n v="81"/>
  </r>
  <r>
    <d v="2024-06-01T10:06:19"/>
    <x v="0"/>
    <x v="1"/>
    <n v="53"/>
    <n v="45"/>
  </r>
  <r>
    <d v="2024-06-10T22:44:13"/>
    <x v="0"/>
    <x v="2"/>
    <n v="398"/>
    <n v="33"/>
  </r>
  <r>
    <d v="2024-06-20T11:22:06"/>
    <x v="3"/>
    <x v="1"/>
    <n v="347"/>
    <n v="35"/>
  </r>
  <r>
    <d v="2024-06-30T00:00:00"/>
    <x v="1"/>
    <x v="2"/>
    <n v="319"/>
    <n v="45"/>
  </r>
</pivotCacheRecords>
</file>

<file path=xl/pivotCache/pivotCacheRecords5.xml><?xml version="1.0" encoding="utf-8"?>
<pivotCacheRecords xmlns="http://schemas.openxmlformats.org/spreadsheetml/2006/main" xmlns:r="http://schemas.openxmlformats.org/officeDocument/2006/relationships"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6.xml><?xml version="1.0" encoding="utf-8"?>
<pivotCacheRecords xmlns="http://schemas.openxmlformats.org/spreadsheetml/2006/main" xmlns:r="http://schemas.openxmlformats.org/officeDocument/2006/relationships"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H5:I10"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6">
    <format dxfId="108">
      <pivotArea type="all" dataOnly="0" outline="0" fieldPosition="0"/>
    </format>
    <format dxfId="107">
      <pivotArea outline="0" collapsedLevelsAreSubtotals="1" fieldPosition="0"/>
    </format>
    <format dxfId="106">
      <pivotArea field="1" type="button" dataOnly="0" labelOnly="1" outline="0" axis="axisRow" fieldPosition="0"/>
    </format>
    <format dxfId="105">
      <pivotArea dataOnly="0" labelOnly="1" outline="0" axis="axisValues" fieldPosition="0"/>
    </format>
    <format dxfId="104">
      <pivotArea dataOnly="0" labelOnly="1" fieldPosition="0">
        <references count="1">
          <reference field="1" count="0"/>
        </references>
      </pivotArea>
    </format>
    <format dxfId="103">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J4:K11" firstHeaderRow="1" firstDataRow="1" firstDataCol="1"/>
  <pivotFields count="5">
    <pivotField axis="axisRow" numFmtId="22" showAll="0">
      <items count="15">
        <item x="0"/>
        <item x="1"/>
        <item x="2"/>
        <item x="3"/>
        <item x="4"/>
        <item x="5"/>
        <item x="6"/>
        <item x="7"/>
        <item x="8"/>
        <item x="9"/>
        <item x="10"/>
        <item x="11"/>
        <item x="12"/>
        <item x="13"/>
        <item t="default"/>
      </items>
    </pivotField>
    <pivotField showAll="0"/>
    <pivotField showAll="0"/>
    <pivotField dataField="1" showAll="0"/>
    <pivotField showAll="0"/>
  </pivotFields>
  <rowFields count="1">
    <field x="0"/>
  </rowFields>
  <rowItems count="7">
    <i>
      <x v="1"/>
    </i>
    <i>
      <x v="2"/>
    </i>
    <i>
      <x v="3"/>
    </i>
    <i>
      <x v="4"/>
    </i>
    <i>
      <x v="5"/>
    </i>
    <i>
      <x v="6"/>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5"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B7" firstHeaderRow="1" firstDataRow="1" firstDataCol="1"/>
  <pivotFields count="6">
    <pivotField showAll="0"/>
    <pivotField numFmtId="22" showAll="0"/>
    <pivotField showAll="0"/>
    <pivotField axis="axisRow" showAll="0">
      <items count="4">
        <item x="2"/>
        <item x="0"/>
        <item x="1"/>
        <item t="default"/>
      </items>
    </pivotField>
    <pivotField dataField="1" showAll="0"/>
    <pivotField showAll="0"/>
  </pivotFields>
  <rowFields count="1">
    <field x="3"/>
  </rowFields>
  <rowItems count="4">
    <i>
      <x/>
    </i>
    <i>
      <x v="1"/>
    </i>
    <i>
      <x v="2"/>
    </i>
    <i t="grand">
      <x/>
    </i>
  </rowItems>
  <colItems count="1">
    <i/>
  </colItems>
  <dataFields count="1">
    <dataField name="Sum of Based on Sales"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G18:H23"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G4:H7" firstHeaderRow="1" firstDataRow="1" firstDataCol="1"/>
  <pivotFields count="5">
    <pivotField numFmtId="22" showAll="0"/>
    <pivotField axis="axisRow" showAll="0">
      <items count="5">
        <item x="2"/>
        <item x="3"/>
        <item x="1"/>
        <item x="0"/>
        <item t="default"/>
      </items>
    </pivotField>
    <pivotField showAll="0">
      <items count="4">
        <item x="2"/>
        <item h="1" x="0"/>
        <item h="1" x="1"/>
        <item t="default"/>
      </items>
    </pivotField>
    <pivotField dataField="1" showAll="0"/>
    <pivotField showAll="0"/>
  </pivotFields>
  <rowFields count="1">
    <field x="1"/>
  </rowFields>
  <rowItems count="3">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H6:I13" firstHeaderRow="1" firstDataRow="1" firstDataCol="1"/>
  <pivotFields count="5">
    <pivotField axis="axisRow" numFmtId="22" showAll="0">
      <items count="15">
        <item x="0"/>
        <item x="1"/>
        <item x="2"/>
        <item x="3"/>
        <item x="4"/>
        <item x="5"/>
        <item x="6"/>
        <item x="7"/>
        <item x="8"/>
        <item x="9"/>
        <item x="10"/>
        <item x="11"/>
        <item x="12"/>
        <item x="13"/>
        <item t="default"/>
      </items>
    </pivotField>
    <pivotField showAll="0">
      <items count="5">
        <item x="2"/>
        <item x="3"/>
        <item x="1"/>
        <item x="0"/>
        <item t="default"/>
      </items>
    </pivotField>
    <pivotField showAll="0"/>
    <pivotField dataField="1" showAll="0"/>
    <pivotField showAll="0"/>
  </pivotFields>
  <rowFields count="1">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G13:H20" firstHeaderRow="1" firstDataRow="1" firstDataCol="1"/>
  <pivotFields count="5">
    <pivotField axis="axisRow" numFmtId="22" showAll="0">
      <items count="15">
        <item x="0"/>
        <item x="1"/>
        <item x="2"/>
        <item x="3"/>
        <item x="4"/>
        <item x="5"/>
        <item x="6"/>
        <item x="7"/>
        <item x="8"/>
        <item x="9"/>
        <item x="10"/>
        <item x="11"/>
        <item x="12"/>
        <item x="13"/>
        <item t="default"/>
      </items>
    </pivotField>
    <pivotField showAll="0">
      <items count="5">
        <item x="2"/>
        <item x="3"/>
        <item x="1"/>
        <item x="0"/>
        <item t="default"/>
      </items>
    </pivotField>
    <pivotField showAll="0"/>
    <pivotField dataField="1" showAll="0"/>
    <pivotField showAll="0"/>
  </pivotFields>
  <rowFields count="1">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5" cacheId="1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G4:H11" firstHeaderRow="1" firstDataRow="1" firstDataCol="1"/>
  <pivotFields count="5">
    <pivotField axis="axisRow" numFmtId="22" showAll="0">
      <items count="15">
        <item x="0"/>
        <item x="1"/>
        <item x="2"/>
        <item x="3"/>
        <item x="4"/>
        <item x="5"/>
        <item x="6"/>
        <item x="7"/>
        <item x="8"/>
        <item x="9"/>
        <item x="10"/>
        <item x="11"/>
        <item x="12"/>
        <item x="13"/>
        <item t="default"/>
      </items>
    </pivotField>
    <pivotField showAll="0">
      <items count="5">
        <item x="2"/>
        <item x="3"/>
        <item x="1"/>
        <item x="0"/>
        <item t="default"/>
      </items>
    </pivotField>
    <pivotField showAll="0"/>
    <pivotField dataField="1" showAll="0"/>
    <pivotField showAll="0"/>
  </pivotFields>
  <rowFields count="1">
    <field x="0"/>
  </rowFields>
  <rowItems count="7">
    <i>
      <x v="1"/>
    </i>
    <i>
      <x v="2"/>
    </i>
    <i>
      <x v="3"/>
    </i>
    <i>
      <x v="4"/>
    </i>
    <i>
      <x v="5"/>
    </i>
    <i>
      <x v="6"/>
    </i>
    <i t="grand">
      <x/>
    </i>
  </rowItems>
  <colItems count="1">
    <i/>
  </colItems>
  <dataFields count="1">
    <dataField name="Average of Sales"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1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G7:H11" firstHeaderRow="1" firstDataRow="1" firstDataCol="1"/>
  <pivotFields count="6">
    <pivotField numFmtId="22" showAll="0"/>
    <pivotField showAll="0"/>
    <pivotField axis="axisRow" showAll="0">
      <items count="4">
        <item x="2"/>
        <item x="0"/>
        <item x="1"/>
        <item t="default"/>
      </items>
    </pivotField>
    <pivotField dataField="1" showAll="0"/>
    <pivotField showAll="0"/>
    <pivotField axis="axisRow" showAll="0" defaultSubtotal="0">
      <items count="2">
        <item n="FRUITS" sd="0" x="1"/>
        <item x="0"/>
      </items>
    </pivotField>
  </pivotFields>
  <rowFields count="2">
    <field x="5"/>
    <field x="2"/>
  </rowFields>
  <rowItems count="4">
    <i>
      <x/>
    </i>
    <i>
      <x v="1"/>
    </i>
    <i r="1">
      <x v="1"/>
    </i>
    <i t="grand">
      <x/>
    </i>
  </rowItems>
  <colItems count="1">
    <i/>
  </colItems>
  <dataFields count="1">
    <dataField name="Sum of Sales" fld="3" baseField="0" baseItem="0"/>
  </dataFields>
  <formats count="1">
    <format dxfId="1">
      <pivotArea dataOnly="0" labelOnly="1" fieldPosition="0">
        <references count="1">
          <reference field="5" count="1">
            <x v="0"/>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ased_on_product" sourceName="Based on product">
  <pivotTables>
    <pivotTable tabId="8" name="PivotTable15"/>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12" name="PivotTable3"/>
  </pivotTables>
  <data>
    <tabular pivotCacheId="2">
      <items count="3">
        <i x="2"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ased on product" cache="Slicer_Based_on_product" caption="Based on produc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41300"/>
</slicers>
</file>

<file path=xl/tables/table1.xml><?xml version="1.0" encoding="utf-8"?>
<table xmlns="http://schemas.openxmlformats.org/spreadsheetml/2006/main" id="1" name="Table1" displayName="Table1" ref="A1:E21" totalsRowShown="0" headerRowDxfId="118" dataDxfId="116" headerRowBorderDxfId="117" tableBorderDxfId="115" totalsRowBorderDxfId="114">
  <autoFilter ref="A1:E21"/>
  <tableColumns count="5">
    <tableColumn id="1" name="Date" dataDxfId="113"/>
    <tableColumn id="2" name="Region" dataDxfId="112"/>
    <tableColumn id="3" name="Product" dataDxfId="111"/>
    <tableColumn id="4" name="Sales" dataDxfId="110"/>
    <tableColumn id="5" name="Quantity" dataDxfId="109"/>
  </tableColumns>
  <tableStyleInfo name="TableStyleMedium2" showFirstColumn="0" showLastColumn="0" showRowStripes="1" showColumnStripes="0"/>
</table>
</file>

<file path=xl/tables/table2.xml><?xml version="1.0" encoding="utf-8"?>
<table xmlns="http://schemas.openxmlformats.org/spreadsheetml/2006/main" id="2" name="Table13" displayName="Table13" ref="A4:E24" totalsRowShown="0" headerRowDxfId="102" dataDxfId="100" headerRowBorderDxfId="101" tableBorderDxfId="99" totalsRowBorderDxfId="98">
  <autoFilter ref="A4:E24"/>
  <tableColumns count="5">
    <tableColumn id="1" name="Date" dataDxfId="97"/>
    <tableColumn id="2" name="Region" dataDxfId="96"/>
    <tableColumn id="3" name="Product" dataDxfId="95"/>
    <tableColumn id="4" name="Sales" dataDxfId="94"/>
    <tableColumn id="5" name="Quantity" dataDxfId="93"/>
  </tableColumns>
  <tableStyleInfo name="TableStyleMedium2" showFirstColumn="0" showLastColumn="0" showRowStripes="1" showColumnStripes="0"/>
</table>
</file>

<file path=xl/tables/table3.xml><?xml version="1.0" encoding="utf-8"?>
<table xmlns="http://schemas.openxmlformats.org/spreadsheetml/2006/main" id="3" name="Table14" displayName="Table14" ref="A4:E24" totalsRowShown="0" headerRowDxfId="92" dataDxfId="90" headerRowBorderDxfId="91" tableBorderDxfId="89" totalsRowBorderDxfId="88">
  <autoFilter ref="A4:E24"/>
  <tableColumns count="5">
    <tableColumn id="1" name="Date" dataDxfId="87"/>
    <tableColumn id="2" name="Region" dataDxfId="86"/>
    <tableColumn id="3" name="Product" dataDxfId="85"/>
    <tableColumn id="4" name="Sales" dataDxfId="84"/>
    <tableColumn id="5" name="Quantity" dataDxfId="83"/>
  </tableColumns>
  <tableStyleInfo name="TableStyleMedium2" showFirstColumn="0" showLastColumn="0" showRowStripes="1" showColumnStripes="0"/>
</table>
</file>

<file path=xl/tables/table4.xml><?xml version="1.0" encoding="utf-8"?>
<table xmlns="http://schemas.openxmlformats.org/spreadsheetml/2006/main" id="4" name="Table15" displayName="Table15" ref="A4:E24" totalsRowShown="0" headerRowDxfId="82" dataDxfId="80" headerRowBorderDxfId="81" tableBorderDxfId="79" totalsRowBorderDxfId="78">
  <autoFilter ref="A4:E24"/>
  <tableColumns count="5">
    <tableColumn id="1" name="Date" dataDxfId="77"/>
    <tableColumn id="2" name="Region" dataDxfId="76"/>
    <tableColumn id="3" name="Product" dataDxfId="75"/>
    <tableColumn id="4" name="Sales" dataDxfId="74"/>
    <tableColumn id="5" name="Quantity" dataDxfId="73"/>
  </tableColumns>
  <tableStyleInfo name="TableStyleMedium2" showFirstColumn="0" showLastColumn="0" showRowStripes="1" showColumnStripes="0"/>
</table>
</file>

<file path=xl/tables/table5.xml><?xml version="1.0" encoding="utf-8"?>
<table xmlns="http://schemas.openxmlformats.org/spreadsheetml/2006/main" id="5" name="Table16" displayName="Table16" ref="A4:E24" totalsRowShown="0" headerRowDxfId="72" dataDxfId="70" headerRowBorderDxfId="71" tableBorderDxfId="69" totalsRowBorderDxfId="68">
  <autoFilter ref="A4:E24"/>
  <tableColumns count="5">
    <tableColumn id="1" name="Date" dataDxfId="67"/>
    <tableColumn id="2" name="Region" dataDxfId="66"/>
    <tableColumn id="3" name="Product" dataDxfId="65"/>
    <tableColumn id="4" name="Sales" dataDxfId="64"/>
    <tableColumn id="5" name="Quantity" dataDxfId="63"/>
  </tableColumns>
  <tableStyleInfo name="TableStyleMedium2" showFirstColumn="0" showLastColumn="0" showRowStripes="1" showColumnStripes="0"/>
</table>
</file>

<file path=xl/tables/table6.xml><?xml version="1.0" encoding="utf-8"?>
<table xmlns="http://schemas.openxmlformats.org/spreadsheetml/2006/main" id="6" name="Table17" displayName="Table17" ref="A4:E24" totalsRowShown="0" headerRowDxfId="62" dataDxfId="60" headerRowBorderDxfId="61" tableBorderDxfId="59" totalsRowBorderDxfId="58">
  <autoFilter ref="A4:E24"/>
  <tableColumns count="5">
    <tableColumn id="1" name="Date" dataDxfId="57"/>
    <tableColumn id="2" name="Region" dataDxfId="56"/>
    <tableColumn id="3" name="Product" dataDxfId="55"/>
    <tableColumn id="4" name="Sales" dataDxfId="54"/>
    <tableColumn id="5" name="Quantity" dataDxfId="53"/>
  </tableColumns>
  <tableStyleInfo name="TableStyleMedium2" showFirstColumn="0" showLastColumn="0" showRowStripes="1" showColumnStripes="0"/>
</table>
</file>

<file path=xl/tables/table7.xml><?xml version="1.0" encoding="utf-8"?>
<table xmlns="http://schemas.openxmlformats.org/spreadsheetml/2006/main" id="7" name="Table178" displayName="Table178" ref="A7:E27" totalsRowShown="0" headerRowDxfId="52" dataDxfId="50" headerRowBorderDxfId="51" tableBorderDxfId="49" totalsRowBorderDxfId="48">
  <autoFilter ref="A7:E27"/>
  <tableColumns count="5">
    <tableColumn id="1" name="Date" dataDxfId="47"/>
    <tableColumn id="2" name="Region" dataDxfId="46"/>
    <tableColumn id="3" name="Product" dataDxfId="45"/>
    <tableColumn id="4" name="Sales" dataDxfId="44"/>
    <tableColumn id="5" name="Quantity" dataDxfId="43"/>
  </tableColumns>
  <tableStyleInfo name="TableStyleMedium2" showFirstColumn="0" showLastColumn="0" showRowStripes="1" showColumnStripes="0"/>
</table>
</file>

<file path=xl/tables/table8.xml><?xml version="1.0" encoding="utf-8"?>
<table xmlns="http://schemas.openxmlformats.org/spreadsheetml/2006/main" id="8" name="Table1789" displayName="Table1789" ref="A3:E23" totalsRowShown="0" headerRowDxfId="42" dataDxfId="41" headerRowBorderDxfId="39" tableBorderDxfId="40" totalsRowBorderDxfId="38">
  <autoFilter ref="A3:E23"/>
  <tableColumns count="5">
    <tableColumn id="1" name="Date" dataDxfId="37"/>
    <tableColumn id="2" name="Region" dataDxfId="36"/>
    <tableColumn id="3" name="Product" dataDxfId="35"/>
    <tableColumn id="4" name="Sales" dataDxfId="34"/>
    <tableColumn id="5" name="Quantity" dataDxfId="33"/>
  </tableColumns>
  <tableStyleInfo name="TableStyleMedium2" showFirstColumn="0" showLastColumn="0" showRowStripes="1" showColumnStripes="0"/>
</table>
</file>

<file path=xl/tables/table9.xml><?xml version="1.0" encoding="utf-8"?>
<table xmlns="http://schemas.openxmlformats.org/spreadsheetml/2006/main" id="9" name="Table178910" displayName="Table178910" ref="A3:E23" totalsRowShown="0" headerRowDxfId="31" dataDxfId="30" headerRowBorderDxfId="28" tableBorderDxfId="29" totalsRowBorderDxfId="27">
  <autoFilter ref="A3:E23"/>
  <tableColumns count="5">
    <tableColumn id="1" name="Date" dataDxfId="26"/>
    <tableColumn id="2" name="Region" dataDxfId="25"/>
    <tableColumn id="3" name="Product" dataDxfId="24"/>
    <tableColumn id="4" name="Sales" dataDxfId="23"/>
    <tableColumn id="5" name="Quantity" dataDxfId="22"/>
  </tableColumns>
  <tableStyleInfo name="TableStyleMedium2" showFirstColumn="0" showLastColumn="0" showRowStripes="1" showColumnStripes="0"/>
</table>
</file>

<file path=xl/tables/table10.xml><?xml version="1.0" encoding="utf-8"?>
<table xmlns="http://schemas.openxmlformats.org/spreadsheetml/2006/main" id="10" name="Table178911" displayName="Table178911" ref="A4:E24" totalsRowShown="0" headerRowDxfId="21" dataDxfId="20" headerRowBorderDxfId="18" tableBorderDxfId="19" totalsRowBorderDxfId="17">
  <autoFilter ref="A4:E24"/>
  <tableColumns count="5">
    <tableColumn id="1" name="Date" dataDxfId="16"/>
    <tableColumn id="2" name="Region" dataDxfId="15"/>
    <tableColumn id="3" name="Product" dataDxfId="14"/>
    <tableColumn id="4" name="Sales" dataDxfId="13"/>
    <tableColumn id="5" name="Quantity" dataDxfId="12"/>
  </tableColumns>
  <tableStyleInfo name="TableStyleMedium2" showFirstColumn="0" showLastColumn="0" showRowStripes="1" showColumnStripes="0"/>
</table>
</file>

<file path=xl/tables/table11.xml><?xml version="1.0" encoding="utf-8"?>
<table xmlns="http://schemas.openxmlformats.org/spreadsheetml/2006/main" id="11" name="Table17891012" displayName="Table17891012" ref="A4:E24" totalsRowShown="0" headerRowDxfId="11" dataDxfId="10" headerRowBorderDxfId="8" tableBorderDxfId="9" totalsRowBorderDxfId="7">
  <autoFilter ref="A4:E24"/>
  <tableColumns count="5">
    <tableColumn id="1" name="Date" dataDxfId="6"/>
    <tableColumn id="2" name="Region" dataDxfId="5"/>
    <tableColumn id="3" name="Product" dataDxfId="4"/>
    <tableColumn id="4" name="Sales" dataDxfId="3"/>
    <tableColumn id="5" name="Quantity"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4.xml"/><Relationship Id="rId1" Type="http://schemas.openxmlformats.org/officeDocument/2006/relationships/pivotTable" Target="../pivotTables/pivotTable5.xml"/><Relationship Id="rId4" Type="http://schemas.microsoft.com/office/2007/relationships/slicer" Target="../slicers/slicer2.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selection sqref="A1:E21"/>
    </sheetView>
  </sheetViews>
  <sheetFormatPr defaultRowHeight="15" x14ac:dyDescent="0.25"/>
  <cols>
    <col min="1" max="1" width="15.5703125" bestFit="1" customWidth="1"/>
    <col min="2" max="2" width="9.42578125" bestFit="1" customWidth="1"/>
    <col min="3" max="3" width="10.140625" bestFit="1" customWidth="1"/>
    <col min="4" max="4" width="7.85546875" bestFit="1" customWidth="1"/>
    <col min="5" max="5" width="10.85546875" customWidth="1"/>
  </cols>
  <sheetData>
    <row r="1" spans="1:7" ht="15.75" thickBot="1" x14ac:dyDescent="0.3">
      <c r="A1" s="3" t="s">
        <v>0</v>
      </c>
      <c r="B1" s="4" t="s">
        <v>1</v>
      </c>
      <c r="C1" s="4" t="s">
        <v>2</v>
      </c>
      <c r="D1" s="4" t="s">
        <v>3</v>
      </c>
      <c r="E1" s="4" t="s">
        <v>4</v>
      </c>
    </row>
    <row r="2" spans="1:7" ht="15.75" thickBot="1" x14ac:dyDescent="0.3">
      <c r="A2" s="2">
        <v>45292</v>
      </c>
      <c r="B2" s="1" t="s">
        <v>5</v>
      </c>
      <c r="C2" s="1" t="s">
        <v>6</v>
      </c>
      <c r="D2" s="1">
        <v>456</v>
      </c>
      <c r="E2" s="1">
        <v>93</v>
      </c>
    </row>
    <row r="3" spans="1:7" ht="15.75" thickBot="1" x14ac:dyDescent="0.3">
      <c r="A3" s="2">
        <v>45301.526319444441</v>
      </c>
      <c r="B3" s="1" t="s">
        <v>7</v>
      </c>
      <c r="C3" s="1" t="s">
        <v>8</v>
      </c>
      <c r="D3" s="1">
        <v>348</v>
      </c>
      <c r="E3" s="1">
        <v>56</v>
      </c>
      <c r="G3" s="11" t="s">
        <v>13</v>
      </c>
    </row>
    <row r="4" spans="1:7" ht="15.75" thickBot="1" x14ac:dyDescent="0.3">
      <c r="A4" s="2">
        <v>45311.052627314813</v>
      </c>
      <c r="B4" s="1" t="s">
        <v>7</v>
      </c>
      <c r="C4" s="1" t="s">
        <v>6</v>
      </c>
      <c r="D4" s="1">
        <v>247</v>
      </c>
      <c r="E4" s="1">
        <v>76</v>
      </c>
      <c r="G4" t="s">
        <v>12</v>
      </c>
    </row>
    <row r="5" spans="1:7" ht="15.75" thickBot="1" x14ac:dyDescent="0.3">
      <c r="A5" s="2">
        <v>45320.578946759262</v>
      </c>
      <c r="B5" s="1" t="s">
        <v>5</v>
      </c>
      <c r="C5" s="1" t="s">
        <v>9</v>
      </c>
      <c r="D5" s="1">
        <v>230</v>
      </c>
      <c r="E5" s="1">
        <v>37</v>
      </c>
    </row>
    <row r="6" spans="1:7" ht="15.75" thickBot="1" x14ac:dyDescent="0.3">
      <c r="A6" s="2">
        <v>45330.105266203704</v>
      </c>
      <c r="B6" s="1" t="s">
        <v>5</v>
      </c>
      <c r="C6" s="1" t="s">
        <v>6</v>
      </c>
      <c r="D6" s="1">
        <v>281</v>
      </c>
      <c r="E6" s="1">
        <v>50</v>
      </c>
      <c r="G6" s="11" t="s">
        <v>14</v>
      </c>
    </row>
    <row r="7" spans="1:7" ht="15.75" thickBot="1" x14ac:dyDescent="0.3">
      <c r="A7" s="2">
        <v>45339.631574074076</v>
      </c>
      <c r="B7" s="1" t="s">
        <v>5</v>
      </c>
      <c r="C7" s="1" t="s">
        <v>8</v>
      </c>
      <c r="D7" s="1">
        <v>334</v>
      </c>
      <c r="E7" s="1">
        <v>52</v>
      </c>
      <c r="G7" t="s">
        <v>15</v>
      </c>
    </row>
    <row r="8" spans="1:7" ht="15.75" thickBot="1" x14ac:dyDescent="0.3">
      <c r="A8" s="2">
        <v>45349.157893518517</v>
      </c>
      <c r="B8" s="1" t="s">
        <v>7</v>
      </c>
      <c r="C8" s="1" t="s">
        <v>9</v>
      </c>
      <c r="D8" s="1">
        <v>417</v>
      </c>
      <c r="E8" s="1">
        <v>29</v>
      </c>
      <c r="G8" t="s">
        <v>16</v>
      </c>
    </row>
    <row r="9" spans="1:7" ht="15.75" thickBot="1" x14ac:dyDescent="0.3">
      <c r="A9" s="2">
        <v>45358.684212962966</v>
      </c>
      <c r="B9" s="1" t="s">
        <v>5</v>
      </c>
      <c r="C9" s="1" t="s">
        <v>9</v>
      </c>
      <c r="D9" s="1">
        <v>441</v>
      </c>
      <c r="E9" s="1">
        <v>44</v>
      </c>
      <c r="G9" t="s">
        <v>19</v>
      </c>
    </row>
    <row r="10" spans="1:7" ht="15.75" thickBot="1" x14ac:dyDescent="0.3">
      <c r="A10" s="2">
        <v>45368.210520833331</v>
      </c>
      <c r="B10" s="1" t="s">
        <v>7</v>
      </c>
      <c r="C10" s="1" t="s">
        <v>6</v>
      </c>
      <c r="D10" s="1">
        <v>76</v>
      </c>
      <c r="E10" s="1">
        <v>63</v>
      </c>
      <c r="G10" t="s">
        <v>17</v>
      </c>
    </row>
    <row r="11" spans="1:7" ht="15.75" thickBot="1" x14ac:dyDescent="0.3">
      <c r="A11" s="2">
        <v>45377.736840277779</v>
      </c>
      <c r="B11" s="1" t="s">
        <v>5</v>
      </c>
      <c r="C11" s="1" t="s">
        <v>8</v>
      </c>
      <c r="D11" s="1">
        <v>441</v>
      </c>
      <c r="E11" s="1">
        <v>79</v>
      </c>
      <c r="G11" t="s">
        <v>18</v>
      </c>
    </row>
    <row r="12" spans="1:7" ht="15.75" thickBot="1" x14ac:dyDescent="0.3">
      <c r="A12" s="2">
        <v>45387.263159722221</v>
      </c>
      <c r="B12" s="1" t="s">
        <v>7</v>
      </c>
      <c r="C12" s="1" t="s">
        <v>6</v>
      </c>
      <c r="D12" s="1">
        <v>205</v>
      </c>
      <c r="E12" s="1">
        <v>23</v>
      </c>
    </row>
    <row r="13" spans="1:7" ht="15.75" thickBot="1" x14ac:dyDescent="0.3">
      <c r="A13" s="2">
        <v>45396.789479166669</v>
      </c>
      <c r="B13" s="1" t="s">
        <v>5</v>
      </c>
      <c r="C13" s="1" t="s">
        <v>8</v>
      </c>
      <c r="D13" s="1">
        <v>483</v>
      </c>
      <c r="E13" s="1">
        <v>97</v>
      </c>
      <c r="G13" s="11" t="s">
        <v>20</v>
      </c>
    </row>
    <row r="14" spans="1:7" ht="15.75" thickBot="1" x14ac:dyDescent="0.3">
      <c r="A14" s="2">
        <v>45406.315787037034</v>
      </c>
      <c r="B14" s="1" t="s">
        <v>10</v>
      </c>
      <c r="C14" s="1" t="s">
        <v>6</v>
      </c>
      <c r="D14" s="1">
        <v>467</v>
      </c>
      <c r="E14" s="1">
        <v>97</v>
      </c>
      <c r="G14" t="s">
        <v>21</v>
      </c>
    </row>
    <row r="15" spans="1:7" ht="15.75" thickBot="1" x14ac:dyDescent="0.3">
      <c r="A15" s="2">
        <v>45415.842106481483</v>
      </c>
      <c r="B15" s="1" t="s">
        <v>5</v>
      </c>
      <c r="C15" s="1" t="s">
        <v>6</v>
      </c>
      <c r="D15" s="1">
        <v>380</v>
      </c>
      <c r="E15" s="1">
        <v>92</v>
      </c>
    </row>
    <row r="16" spans="1:7" ht="15.75" thickBot="1" x14ac:dyDescent="0.3">
      <c r="A16" s="2">
        <v>45425.368425925924</v>
      </c>
      <c r="B16" s="1" t="s">
        <v>7</v>
      </c>
      <c r="C16" s="1" t="s">
        <v>8</v>
      </c>
      <c r="D16" s="1">
        <v>497</v>
      </c>
      <c r="E16" s="1">
        <v>71</v>
      </c>
    </row>
    <row r="17" spans="1:5" ht="15.75" thickBot="1" x14ac:dyDescent="0.3">
      <c r="A17" s="2">
        <v>45434.894733796296</v>
      </c>
      <c r="B17" s="1" t="s">
        <v>7</v>
      </c>
      <c r="C17" s="1" t="s">
        <v>6</v>
      </c>
      <c r="D17" s="1">
        <v>409</v>
      </c>
      <c r="E17" s="1">
        <v>81</v>
      </c>
    </row>
    <row r="18" spans="1:5" ht="15.75" thickBot="1" x14ac:dyDescent="0.3">
      <c r="A18" s="2">
        <v>45444.421053240738</v>
      </c>
      <c r="B18" s="1" t="s">
        <v>5</v>
      </c>
      <c r="C18" s="1" t="s">
        <v>8</v>
      </c>
      <c r="D18" s="1">
        <v>53</v>
      </c>
      <c r="E18" s="1">
        <v>45</v>
      </c>
    </row>
    <row r="19" spans="1:5" ht="15.75" thickBot="1" x14ac:dyDescent="0.3">
      <c r="A19" s="2">
        <v>45453.947372685187</v>
      </c>
      <c r="B19" s="1" t="s">
        <v>5</v>
      </c>
      <c r="C19" s="1" t="s">
        <v>9</v>
      </c>
      <c r="D19" s="1">
        <v>398</v>
      </c>
      <c r="E19" s="1">
        <v>33</v>
      </c>
    </row>
    <row r="20" spans="1:5" ht="15.75" thickBot="1" x14ac:dyDescent="0.3">
      <c r="A20" s="2">
        <v>45463.473680555559</v>
      </c>
      <c r="B20" s="1" t="s">
        <v>11</v>
      </c>
      <c r="C20" s="1" t="s">
        <v>8</v>
      </c>
      <c r="D20" s="1">
        <v>347</v>
      </c>
      <c r="E20" s="1">
        <v>35</v>
      </c>
    </row>
    <row r="21" spans="1:5" x14ac:dyDescent="0.25">
      <c r="A21" s="9">
        <v>45473</v>
      </c>
      <c r="B21" s="10" t="s">
        <v>7</v>
      </c>
      <c r="C21" s="10" t="s">
        <v>9</v>
      </c>
      <c r="D21" s="10">
        <v>319</v>
      </c>
      <c r="E21" s="10">
        <v>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abSelected="1" workbookViewId="0">
      <selection activeCell="H13" sqref="H13"/>
    </sheetView>
  </sheetViews>
  <sheetFormatPr defaultRowHeight="15" x14ac:dyDescent="0.25"/>
  <sheetData>
    <row r="1" spans="1:2" x14ac:dyDescent="0.25">
      <c r="A1" t="s">
        <v>22</v>
      </c>
    </row>
    <row r="2" spans="1:2" x14ac:dyDescent="0.25">
      <c r="A2" s="11" t="s">
        <v>23</v>
      </c>
    </row>
    <row r="3" spans="1:2" x14ac:dyDescent="0.25">
      <c r="A3" t="s">
        <v>24</v>
      </c>
    </row>
    <row r="4" spans="1:2" x14ac:dyDescent="0.25">
      <c r="A4" s="13" t="s">
        <v>36</v>
      </c>
      <c r="B4" s="14"/>
    </row>
    <row r="5" spans="1:2" x14ac:dyDescent="0.25">
      <c r="A5" s="11" t="s">
        <v>26</v>
      </c>
    </row>
    <row r="6" spans="1:2" x14ac:dyDescent="0.25">
      <c r="A6" t="s">
        <v>25</v>
      </c>
    </row>
    <row r="7" spans="1:2" x14ac:dyDescent="0.25">
      <c r="A7" s="11" t="s">
        <v>27</v>
      </c>
    </row>
    <row r="8" spans="1:2" x14ac:dyDescent="0.25">
      <c r="A8" s="11" t="s">
        <v>28</v>
      </c>
    </row>
    <row r="9" spans="1:2" x14ac:dyDescent="0.25">
      <c r="A9" s="11" t="s">
        <v>29</v>
      </c>
    </row>
    <row r="10" spans="1:2" x14ac:dyDescent="0.25">
      <c r="A10" s="11" t="s">
        <v>30</v>
      </c>
    </row>
    <row r="11" spans="1:2" x14ac:dyDescent="0.25">
      <c r="A11" s="11" t="s">
        <v>31</v>
      </c>
    </row>
    <row r="12" spans="1:2" x14ac:dyDescent="0.25">
      <c r="A12" s="11" t="s">
        <v>32</v>
      </c>
    </row>
    <row r="13" spans="1:2" x14ac:dyDescent="0.25">
      <c r="A13" s="11" t="s">
        <v>33</v>
      </c>
    </row>
    <row r="14" spans="1:2" x14ac:dyDescent="0.25">
      <c r="A14" s="11" t="s">
        <v>34</v>
      </c>
    </row>
    <row r="15" spans="1:2" x14ac:dyDescent="0.25">
      <c r="A15" s="11" t="s">
        <v>35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topLeftCell="A3" workbookViewId="0">
      <selection activeCell="J18" sqref="J18"/>
    </sheetView>
  </sheetViews>
  <sheetFormatPr defaultRowHeight="15" x14ac:dyDescent="0.25"/>
  <cols>
    <col min="1" max="1" width="15.5703125" bestFit="1" customWidth="1"/>
    <col min="2" max="2" width="9.42578125" bestFit="1" customWidth="1"/>
    <col min="3" max="3" width="10.140625" bestFit="1" customWidth="1"/>
    <col min="4" max="4" width="7.85546875" bestFit="1" customWidth="1"/>
    <col min="5" max="5" width="11" bestFit="1" customWidth="1"/>
    <col min="8" max="8" width="13.140625" bestFit="1" customWidth="1"/>
    <col min="9" max="9" width="12.140625" bestFit="1" customWidth="1"/>
  </cols>
  <sheetData>
    <row r="1" spans="1:9" x14ac:dyDescent="0.25">
      <c r="A1" s="11" t="s">
        <v>37</v>
      </c>
    </row>
    <row r="2" spans="1:9" x14ac:dyDescent="0.25">
      <c r="A2" s="11" t="s">
        <v>38</v>
      </c>
    </row>
    <row r="4" spans="1:9" ht="15.75" thickBot="1" x14ac:dyDescent="0.3">
      <c r="A4" s="15" t="s">
        <v>0</v>
      </c>
      <c r="B4" s="16" t="s">
        <v>1</v>
      </c>
      <c r="C4" s="16" t="s">
        <v>2</v>
      </c>
      <c r="D4" s="16" t="s">
        <v>3</v>
      </c>
      <c r="E4" s="16" t="s">
        <v>4</v>
      </c>
    </row>
    <row r="5" spans="1:9" ht="15.75" thickBot="1" x14ac:dyDescent="0.3">
      <c r="A5" s="17">
        <v>45292</v>
      </c>
      <c r="B5" s="18" t="s">
        <v>5</v>
      </c>
      <c r="C5" s="18" t="s">
        <v>6</v>
      </c>
      <c r="D5" s="18">
        <v>456</v>
      </c>
      <c r="E5" s="18">
        <v>93</v>
      </c>
      <c r="H5" s="14" t="s">
        <v>39</v>
      </c>
      <c r="I5" s="14" t="s">
        <v>41</v>
      </c>
    </row>
    <row r="6" spans="1:9" ht="15.75" thickBot="1" x14ac:dyDescent="0.3">
      <c r="A6" s="17">
        <v>45301.526319444441</v>
      </c>
      <c r="B6" s="18" t="s">
        <v>7</v>
      </c>
      <c r="C6" s="18" t="s">
        <v>8</v>
      </c>
      <c r="D6" s="18">
        <v>348</v>
      </c>
      <c r="E6" s="18">
        <v>56</v>
      </c>
      <c r="H6" s="28" t="s">
        <v>10</v>
      </c>
      <c r="I6" s="29">
        <v>467</v>
      </c>
    </row>
    <row r="7" spans="1:9" ht="15.75" thickBot="1" x14ac:dyDescent="0.3">
      <c r="A7" s="17">
        <v>45311.052627314813</v>
      </c>
      <c r="B7" s="18" t="s">
        <v>7</v>
      </c>
      <c r="C7" s="18" t="s">
        <v>6</v>
      </c>
      <c r="D7" s="18">
        <v>247</v>
      </c>
      <c r="E7" s="18">
        <v>76</v>
      </c>
      <c r="H7" s="28" t="s">
        <v>11</v>
      </c>
      <c r="I7" s="29">
        <v>347</v>
      </c>
    </row>
    <row r="8" spans="1:9" ht="15.75" thickBot="1" x14ac:dyDescent="0.3">
      <c r="A8" s="17">
        <v>45320.578946759262</v>
      </c>
      <c r="B8" s="18" t="s">
        <v>5</v>
      </c>
      <c r="C8" s="18" t="s">
        <v>9</v>
      </c>
      <c r="D8" s="18">
        <v>230</v>
      </c>
      <c r="E8" s="18">
        <v>37</v>
      </c>
      <c r="H8" s="28" t="s">
        <v>7</v>
      </c>
      <c r="I8" s="29">
        <v>2518</v>
      </c>
    </row>
    <row r="9" spans="1:9" ht="15.75" thickBot="1" x14ac:dyDescent="0.3">
      <c r="A9" s="17">
        <v>45330.105266203704</v>
      </c>
      <c r="B9" s="18" t="s">
        <v>5</v>
      </c>
      <c r="C9" s="18" t="s">
        <v>6</v>
      </c>
      <c r="D9" s="18">
        <v>281</v>
      </c>
      <c r="E9" s="18">
        <v>50</v>
      </c>
      <c r="H9" s="28" t="s">
        <v>5</v>
      </c>
      <c r="I9" s="29">
        <v>3497</v>
      </c>
    </row>
    <row r="10" spans="1:9" ht="15.75" thickBot="1" x14ac:dyDescent="0.3">
      <c r="A10" s="17">
        <v>45339.631574074076</v>
      </c>
      <c r="B10" s="18" t="s">
        <v>5</v>
      </c>
      <c r="C10" s="18" t="s">
        <v>8</v>
      </c>
      <c r="D10" s="18">
        <v>334</v>
      </c>
      <c r="E10" s="18">
        <v>52</v>
      </c>
      <c r="H10" s="28" t="s">
        <v>40</v>
      </c>
      <c r="I10" s="29">
        <v>6829</v>
      </c>
    </row>
    <row r="11" spans="1:9" ht="15.75" thickBot="1" x14ac:dyDescent="0.3">
      <c r="A11" s="17">
        <v>45349.157893518517</v>
      </c>
      <c r="B11" s="18" t="s">
        <v>7</v>
      </c>
      <c r="C11" s="18" t="s">
        <v>9</v>
      </c>
      <c r="D11" s="18">
        <v>417</v>
      </c>
      <c r="E11" s="18">
        <v>29</v>
      </c>
    </row>
    <row r="12" spans="1:9" ht="15.75" thickBot="1" x14ac:dyDescent="0.3">
      <c r="A12" s="17">
        <v>45358.684212962966</v>
      </c>
      <c r="B12" s="18" t="s">
        <v>5</v>
      </c>
      <c r="C12" s="18" t="s">
        <v>9</v>
      </c>
      <c r="D12" s="18">
        <v>441</v>
      </c>
      <c r="E12" s="18">
        <v>44</v>
      </c>
    </row>
    <row r="13" spans="1:9" ht="15.75" thickBot="1" x14ac:dyDescent="0.3">
      <c r="A13" s="17">
        <v>45368.210520833331</v>
      </c>
      <c r="B13" s="18" t="s">
        <v>7</v>
      </c>
      <c r="C13" s="18" t="s">
        <v>6</v>
      </c>
      <c r="D13" s="18">
        <v>76</v>
      </c>
      <c r="E13" s="18">
        <v>63</v>
      </c>
    </row>
    <row r="14" spans="1:9" ht="15.75" thickBot="1" x14ac:dyDescent="0.3">
      <c r="A14" s="17">
        <v>45377.736840277779</v>
      </c>
      <c r="B14" s="18" t="s">
        <v>5</v>
      </c>
      <c r="C14" s="18" t="s">
        <v>8</v>
      </c>
      <c r="D14" s="18">
        <v>441</v>
      </c>
      <c r="E14" s="18">
        <v>79</v>
      </c>
    </row>
    <row r="15" spans="1:9" ht="15.75" thickBot="1" x14ac:dyDescent="0.3">
      <c r="A15" s="17">
        <v>45387.263159722221</v>
      </c>
      <c r="B15" s="18" t="s">
        <v>7</v>
      </c>
      <c r="C15" s="18" t="s">
        <v>6</v>
      </c>
      <c r="D15" s="18">
        <v>205</v>
      </c>
      <c r="E15" s="18">
        <v>23</v>
      </c>
    </row>
    <row r="16" spans="1:9" ht="15.75" thickBot="1" x14ac:dyDescent="0.3">
      <c r="A16" s="17">
        <v>45396.789479166669</v>
      </c>
      <c r="B16" s="18" t="s">
        <v>5</v>
      </c>
      <c r="C16" s="18" t="s">
        <v>8</v>
      </c>
      <c r="D16" s="18">
        <v>483</v>
      </c>
      <c r="E16" s="18">
        <v>97</v>
      </c>
    </row>
    <row r="17" spans="1:5" ht="15.75" thickBot="1" x14ac:dyDescent="0.3">
      <c r="A17" s="17">
        <v>45406.315787037034</v>
      </c>
      <c r="B17" s="18" t="s">
        <v>10</v>
      </c>
      <c r="C17" s="18" t="s">
        <v>6</v>
      </c>
      <c r="D17" s="18">
        <v>467</v>
      </c>
      <c r="E17" s="18">
        <v>97</v>
      </c>
    </row>
    <row r="18" spans="1:5" ht="15.75" thickBot="1" x14ac:dyDescent="0.3">
      <c r="A18" s="17">
        <v>45415.842106481483</v>
      </c>
      <c r="B18" s="18" t="s">
        <v>5</v>
      </c>
      <c r="C18" s="18" t="s">
        <v>6</v>
      </c>
      <c r="D18" s="18">
        <v>380</v>
      </c>
      <c r="E18" s="18">
        <v>92</v>
      </c>
    </row>
    <row r="19" spans="1:5" ht="15.75" thickBot="1" x14ac:dyDescent="0.3">
      <c r="A19" s="17">
        <v>45425.368425925924</v>
      </c>
      <c r="B19" s="18" t="s">
        <v>7</v>
      </c>
      <c r="C19" s="18" t="s">
        <v>8</v>
      </c>
      <c r="D19" s="18">
        <v>497</v>
      </c>
      <c r="E19" s="18">
        <v>71</v>
      </c>
    </row>
    <row r="20" spans="1:5" ht="15.75" thickBot="1" x14ac:dyDescent="0.3">
      <c r="A20" s="17">
        <v>45434.894733796296</v>
      </c>
      <c r="B20" s="18" t="s">
        <v>7</v>
      </c>
      <c r="C20" s="18" t="s">
        <v>6</v>
      </c>
      <c r="D20" s="18">
        <v>409</v>
      </c>
      <c r="E20" s="18">
        <v>81</v>
      </c>
    </row>
    <row r="21" spans="1:5" ht="15.75" thickBot="1" x14ac:dyDescent="0.3">
      <c r="A21" s="17">
        <v>45444.421053240738</v>
      </c>
      <c r="B21" s="18" t="s">
        <v>5</v>
      </c>
      <c r="C21" s="18" t="s">
        <v>8</v>
      </c>
      <c r="D21" s="18">
        <v>53</v>
      </c>
      <c r="E21" s="18">
        <v>45</v>
      </c>
    </row>
    <row r="22" spans="1:5" ht="15.75" thickBot="1" x14ac:dyDescent="0.3">
      <c r="A22" s="17">
        <v>45453.947372685187</v>
      </c>
      <c r="B22" s="18" t="s">
        <v>5</v>
      </c>
      <c r="C22" s="18" t="s">
        <v>9</v>
      </c>
      <c r="D22" s="18">
        <v>398</v>
      </c>
      <c r="E22" s="18">
        <v>33</v>
      </c>
    </row>
    <row r="23" spans="1:5" ht="15.75" thickBot="1" x14ac:dyDescent="0.3">
      <c r="A23" s="17">
        <v>45463.473680555559</v>
      </c>
      <c r="B23" s="18" t="s">
        <v>11</v>
      </c>
      <c r="C23" s="18" t="s">
        <v>8</v>
      </c>
      <c r="D23" s="18">
        <v>347</v>
      </c>
      <c r="E23" s="18">
        <v>35</v>
      </c>
    </row>
    <row r="24" spans="1:5" x14ac:dyDescent="0.25">
      <c r="A24" s="19">
        <v>45473</v>
      </c>
      <c r="B24" s="20" t="s">
        <v>7</v>
      </c>
      <c r="C24" s="20" t="s">
        <v>9</v>
      </c>
      <c r="D24" s="20">
        <v>319</v>
      </c>
      <c r="E24" s="20">
        <v>45</v>
      </c>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workbookViewId="0">
      <selection activeCell="Q4" sqref="Q4"/>
    </sheetView>
  </sheetViews>
  <sheetFormatPr defaultRowHeight="15" x14ac:dyDescent="0.25"/>
  <cols>
    <col min="1" max="1" width="15.5703125" bestFit="1" customWidth="1"/>
    <col min="2" max="2" width="9.42578125" bestFit="1" customWidth="1"/>
    <col min="3" max="3" width="10.140625" bestFit="1" customWidth="1"/>
    <col min="4" max="4" width="7.85546875" bestFit="1" customWidth="1"/>
    <col min="5" max="5" width="11" bestFit="1" customWidth="1"/>
  </cols>
  <sheetData>
    <row r="1" spans="1:17" x14ac:dyDescent="0.25">
      <c r="A1" s="11" t="s">
        <v>42</v>
      </c>
    </row>
    <row r="2" spans="1:17" x14ac:dyDescent="0.25">
      <c r="A2" s="11" t="s">
        <v>43</v>
      </c>
    </row>
    <row r="4" spans="1:17" ht="15.75" thickBot="1" x14ac:dyDescent="0.3">
      <c r="A4" s="3" t="s">
        <v>0</v>
      </c>
      <c r="B4" s="4" t="s">
        <v>1</v>
      </c>
      <c r="C4" s="4" t="s">
        <v>2</v>
      </c>
      <c r="D4" s="4" t="s">
        <v>3</v>
      </c>
      <c r="E4" s="4" t="s">
        <v>4</v>
      </c>
      <c r="G4" s="14" t="s">
        <v>44</v>
      </c>
      <c r="H4" s="14"/>
      <c r="I4" s="14"/>
      <c r="J4" s="14"/>
      <c r="K4" s="14"/>
      <c r="L4" s="14"/>
      <c r="M4" s="14"/>
      <c r="N4" s="14"/>
      <c r="O4" s="14"/>
      <c r="P4" s="14"/>
      <c r="Q4" s="14"/>
    </row>
    <row r="5" spans="1:17" ht="15.75" thickBot="1" x14ac:dyDescent="0.3">
      <c r="A5" s="2">
        <v>45292</v>
      </c>
      <c r="B5" s="1" t="s">
        <v>5</v>
      </c>
      <c r="C5" s="1" t="s">
        <v>6</v>
      </c>
      <c r="D5" s="1">
        <v>456</v>
      </c>
      <c r="E5" s="1">
        <v>93</v>
      </c>
    </row>
    <row r="6" spans="1:17" ht="15.75" thickBot="1" x14ac:dyDescent="0.3">
      <c r="A6" s="2">
        <v>45301.526319444441</v>
      </c>
      <c r="B6" s="1" t="s">
        <v>7</v>
      </c>
      <c r="C6" s="1" t="s">
        <v>8</v>
      </c>
      <c r="D6" s="1">
        <v>348</v>
      </c>
      <c r="E6" s="1">
        <v>56</v>
      </c>
    </row>
    <row r="7" spans="1:17" ht="15.75" thickBot="1" x14ac:dyDescent="0.3">
      <c r="A7" s="2">
        <v>45311.052627314813</v>
      </c>
      <c r="B7" s="1" t="s">
        <v>7</v>
      </c>
      <c r="C7" s="1" t="s">
        <v>6</v>
      </c>
      <c r="D7" s="1">
        <v>247</v>
      </c>
      <c r="E7" s="1">
        <v>76</v>
      </c>
    </row>
    <row r="8" spans="1:17" ht="15.75" thickBot="1" x14ac:dyDescent="0.3">
      <c r="A8" s="2">
        <v>45320.578946759262</v>
      </c>
      <c r="B8" s="1" t="s">
        <v>5</v>
      </c>
      <c r="C8" s="1" t="s">
        <v>9</v>
      </c>
      <c r="D8" s="1">
        <v>230</v>
      </c>
      <c r="E8" s="1">
        <v>37</v>
      </c>
    </row>
    <row r="9" spans="1:17" ht="15.75" thickBot="1" x14ac:dyDescent="0.3">
      <c r="A9" s="2">
        <v>45330.105266203704</v>
      </c>
      <c r="B9" s="1" t="s">
        <v>5</v>
      </c>
      <c r="C9" s="1" t="s">
        <v>6</v>
      </c>
      <c r="D9" s="1">
        <v>281</v>
      </c>
      <c r="E9" s="1">
        <v>50</v>
      </c>
    </row>
    <row r="10" spans="1:17" ht="15.75" thickBot="1" x14ac:dyDescent="0.3">
      <c r="A10" s="2">
        <v>45339.631574074076</v>
      </c>
      <c r="B10" s="1" t="s">
        <v>5</v>
      </c>
      <c r="C10" s="1" t="s">
        <v>8</v>
      </c>
      <c r="D10" s="1">
        <v>334</v>
      </c>
      <c r="E10" s="1">
        <v>52</v>
      </c>
    </row>
    <row r="11" spans="1:17" ht="15.75" thickBot="1" x14ac:dyDescent="0.3">
      <c r="A11" s="2">
        <v>45349.157893518517</v>
      </c>
      <c r="B11" s="1" t="s">
        <v>7</v>
      </c>
      <c r="C11" s="1" t="s">
        <v>9</v>
      </c>
      <c r="D11" s="1">
        <v>417</v>
      </c>
      <c r="E11" s="1">
        <v>29</v>
      </c>
    </row>
    <row r="12" spans="1:17" ht="15.75" thickBot="1" x14ac:dyDescent="0.3">
      <c r="A12" s="2">
        <v>45358.684212962966</v>
      </c>
      <c r="B12" s="1" t="s">
        <v>5</v>
      </c>
      <c r="C12" s="1" t="s">
        <v>9</v>
      </c>
      <c r="D12" s="1">
        <v>441</v>
      </c>
      <c r="E12" s="1">
        <v>44</v>
      </c>
    </row>
    <row r="13" spans="1:17" ht="15.75" thickBot="1" x14ac:dyDescent="0.3">
      <c r="A13" s="2">
        <v>45368.210520833331</v>
      </c>
      <c r="B13" s="1" t="s">
        <v>7</v>
      </c>
      <c r="C13" s="1" t="s">
        <v>6</v>
      </c>
      <c r="D13" s="1">
        <v>76</v>
      </c>
      <c r="E13" s="1">
        <v>63</v>
      </c>
    </row>
    <row r="14" spans="1:17" ht="15.75" thickBot="1" x14ac:dyDescent="0.3">
      <c r="A14" s="2">
        <v>45377.736840277779</v>
      </c>
      <c r="B14" s="1" t="s">
        <v>5</v>
      </c>
      <c r="C14" s="1" t="s">
        <v>8</v>
      </c>
      <c r="D14" s="1">
        <v>441</v>
      </c>
      <c r="E14" s="1">
        <v>79</v>
      </c>
    </row>
    <row r="15" spans="1:17" ht="15.75" thickBot="1" x14ac:dyDescent="0.3">
      <c r="A15" s="2">
        <v>45387.263159722221</v>
      </c>
      <c r="B15" s="1" t="s">
        <v>7</v>
      </c>
      <c r="C15" s="1" t="s">
        <v>6</v>
      </c>
      <c r="D15" s="1">
        <v>205</v>
      </c>
      <c r="E15" s="1">
        <v>23</v>
      </c>
    </row>
    <row r="16" spans="1:17" ht="15.75" thickBot="1" x14ac:dyDescent="0.3">
      <c r="A16" s="2">
        <v>45396.789479166669</v>
      </c>
      <c r="B16" s="1" t="s">
        <v>5</v>
      </c>
      <c r="C16" s="1" t="s">
        <v>8</v>
      </c>
      <c r="D16" s="1">
        <v>483</v>
      </c>
      <c r="E16" s="1">
        <v>97</v>
      </c>
    </row>
    <row r="17" spans="1:5" ht="15.75" thickBot="1" x14ac:dyDescent="0.3">
      <c r="A17" s="2">
        <v>45406.315787037034</v>
      </c>
      <c r="B17" s="1" t="s">
        <v>10</v>
      </c>
      <c r="C17" s="1" t="s">
        <v>6</v>
      </c>
      <c r="D17" s="1">
        <v>467</v>
      </c>
      <c r="E17" s="1">
        <v>97</v>
      </c>
    </row>
    <row r="18" spans="1:5" ht="15.75" thickBot="1" x14ac:dyDescent="0.3">
      <c r="A18" s="2">
        <v>45415.842106481483</v>
      </c>
      <c r="B18" s="1" t="s">
        <v>5</v>
      </c>
      <c r="C18" s="1" t="s">
        <v>6</v>
      </c>
      <c r="D18" s="1">
        <v>380</v>
      </c>
      <c r="E18" s="1">
        <v>92</v>
      </c>
    </row>
    <row r="19" spans="1:5" ht="15.75" thickBot="1" x14ac:dyDescent="0.3">
      <c r="A19" s="2">
        <v>45425.368425925924</v>
      </c>
      <c r="B19" s="1" t="s">
        <v>7</v>
      </c>
      <c r="C19" s="1" t="s">
        <v>8</v>
      </c>
      <c r="D19" s="1">
        <v>497</v>
      </c>
      <c r="E19" s="1">
        <v>71</v>
      </c>
    </row>
    <row r="20" spans="1:5" ht="15.75" thickBot="1" x14ac:dyDescent="0.3">
      <c r="A20" s="2">
        <v>45434.894733796296</v>
      </c>
      <c r="B20" s="1" t="s">
        <v>7</v>
      </c>
      <c r="C20" s="1" t="s">
        <v>6</v>
      </c>
      <c r="D20" s="1">
        <v>409</v>
      </c>
      <c r="E20" s="1">
        <v>81</v>
      </c>
    </row>
    <row r="21" spans="1:5" ht="15.75" thickBot="1" x14ac:dyDescent="0.3">
      <c r="A21" s="2">
        <v>45444.421053240738</v>
      </c>
      <c r="B21" s="1" t="s">
        <v>5</v>
      </c>
      <c r="C21" s="1" t="s">
        <v>8</v>
      </c>
      <c r="D21" s="1">
        <v>53</v>
      </c>
      <c r="E21" s="1">
        <v>45</v>
      </c>
    </row>
    <row r="22" spans="1:5" ht="15.75" thickBot="1" x14ac:dyDescent="0.3">
      <c r="A22" s="2">
        <v>45453.947372685187</v>
      </c>
      <c r="B22" s="1" t="s">
        <v>5</v>
      </c>
      <c r="C22" s="1" t="s">
        <v>9</v>
      </c>
      <c r="D22" s="1">
        <v>398</v>
      </c>
      <c r="E22" s="1">
        <v>33</v>
      </c>
    </row>
    <row r="23" spans="1:5" ht="15.75" thickBot="1" x14ac:dyDescent="0.3">
      <c r="A23" s="2">
        <v>45463.473680555559</v>
      </c>
      <c r="B23" s="1" t="s">
        <v>11</v>
      </c>
      <c r="C23" s="1" t="s">
        <v>8</v>
      </c>
      <c r="D23" s="1">
        <v>347</v>
      </c>
      <c r="E23" s="1">
        <v>35</v>
      </c>
    </row>
    <row r="24" spans="1:5" x14ac:dyDescent="0.25">
      <c r="A24" s="9">
        <v>45473</v>
      </c>
      <c r="B24" s="10" t="s">
        <v>7</v>
      </c>
      <c r="C24" s="10" t="s">
        <v>9</v>
      </c>
      <c r="D24" s="10">
        <v>319</v>
      </c>
      <c r="E24" s="10">
        <v>45</v>
      </c>
    </row>
  </sheetData>
  <conditionalFormatting sqref="D4:D24">
    <cfRule type="cellIs" dxfId="32" priority="1" operator="greaterThan">
      <formula>400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8"/>
  <sheetViews>
    <sheetView topLeftCell="A27" workbookViewId="0">
      <selection activeCell="H28" sqref="G28:L48"/>
    </sheetView>
  </sheetViews>
  <sheetFormatPr defaultRowHeight="15" x14ac:dyDescent="0.25"/>
  <cols>
    <col min="1" max="1" width="15.5703125" bestFit="1" customWidth="1"/>
    <col min="2" max="2" width="11.7109375" bestFit="1" customWidth="1"/>
    <col min="3" max="3" width="12.42578125" bestFit="1" customWidth="1"/>
    <col min="4" max="4" width="10.140625" bestFit="1" customWidth="1"/>
    <col min="7" max="7" width="12" bestFit="1" customWidth="1"/>
    <col min="8" max="8" width="17.85546875" bestFit="1" customWidth="1"/>
    <col min="9" max="9" width="15.5703125" bestFit="1" customWidth="1"/>
    <col min="10" max="10" width="16.140625" customWidth="1"/>
    <col min="11" max="11" width="14.140625" bestFit="1" customWidth="1"/>
    <col min="12" max="12" width="17" customWidth="1"/>
  </cols>
  <sheetData>
    <row r="1" spans="1:12" x14ac:dyDescent="0.25">
      <c r="A1" s="11" t="s">
        <v>45</v>
      </c>
    </row>
    <row r="2" spans="1:12" x14ac:dyDescent="0.25">
      <c r="A2" s="11" t="s">
        <v>46</v>
      </c>
    </row>
    <row r="4" spans="1:12" ht="15.75" thickBot="1" x14ac:dyDescent="0.3">
      <c r="A4" s="15" t="s">
        <v>0</v>
      </c>
      <c r="B4" s="16" t="s">
        <v>1</v>
      </c>
      <c r="C4" s="16" t="s">
        <v>2</v>
      </c>
      <c r="D4" s="16" t="s">
        <v>3</v>
      </c>
      <c r="E4" s="16" t="s">
        <v>4</v>
      </c>
      <c r="G4" s="34" t="s">
        <v>47</v>
      </c>
      <c r="H4" s="35" t="s">
        <v>48</v>
      </c>
      <c r="I4" s="35" t="s">
        <v>49</v>
      </c>
      <c r="J4" s="35" t="s">
        <v>50</v>
      </c>
      <c r="K4" s="35" t="s">
        <v>51</v>
      </c>
      <c r="L4" s="35" t="s">
        <v>52</v>
      </c>
    </row>
    <row r="5" spans="1:12" ht="15.75" thickBot="1" x14ac:dyDescent="0.3">
      <c r="A5" s="17">
        <v>45292</v>
      </c>
      <c r="B5" s="18" t="s">
        <v>5</v>
      </c>
      <c r="C5" s="18" t="s">
        <v>6</v>
      </c>
      <c r="D5" s="18">
        <v>456</v>
      </c>
      <c r="E5" s="18">
        <v>93</v>
      </c>
      <c r="H5" s="30">
        <v>45406.315787037034</v>
      </c>
      <c r="I5" s="33" t="s">
        <v>5</v>
      </c>
      <c r="J5" s="32" t="s">
        <v>8</v>
      </c>
      <c r="K5" s="33">
        <v>398</v>
      </c>
      <c r="L5" s="32">
        <v>23</v>
      </c>
    </row>
    <row r="6" spans="1:12" ht="15.75" thickBot="1" x14ac:dyDescent="0.3">
      <c r="A6" s="17">
        <v>45301.526319444441</v>
      </c>
      <c r="B6" s="18" t="s">
        <v>7</v>
      </c>
      <c r="C6" s="18" t="s">
        <v>8</v>
      </c>
      <c r="D6" s="18">
        <v>348</v>
      </c>
      <c r="E6" s="18">
        <v>56</v>
      </c>
      <c r="H6" s="21">
        <v>45311.052627314813</v>
      </c>
      <c r="I6" s="24" t="s">
        <v>7</v>
      </c>
      <c r="J6" s="22" t="s">
        <v>6</v>
      </c>
      <c r="K6" s="24">
        <v>334</v>
      </c>
      <c r="L6" s="22">
        <v>29</v>
      </c>
    </row>
    <row r="7" spans="1:12" ht="15.75" thickBot="1" x14ac:dyDescent="0.3">
      <c r="A7" s="17">
        <v>45311.052627314813</v>
      </c>
      <c r="B7" s="18" t="s">
        <v>7</v>
      </c>
      <c r="C7" s="18" t="s">
        <v>6</v>
      </c>
      <c r="D7" s="18">
        <v>247</v>
      </c>
      <c r="E7" s="18">
        <v>76</v>
      </c>
      <c r="H7" s="21">
        <v>45387.263159722221</v>
      </c>
      <c r="I7" s="24" t="s">
        <v>5</v>
      </c>
      <c r="J7" s="24" t="s">
        <v>6</v>
      </c>
      <c r="K7" s="24">
        <v>483</v>
      </c>
      <c r="L7" s="24">
        <v>33</v>
      </c>
    </row>
    <row r="8" spans="1:12" ht="15.75" thickBot="1" x14ac:dyDescent="0.3">
      <c r="A8" s="17">
        <v>45320.578946759262</v>
      </c>
      <c r="B8" s="18" t="s">
        <v>5</v>
      </c>
      <c r="C8" s="18" t="s">
        <v>9</v>
      </c>
      <c r="D8" s="18">
        <v>230</v>
      </c>
      <c r="E8" s="18">
        <v>37</v>
      </c>
      <c r="H8" s="31"/>
      <c r="I8" s="24" t="s">
        <v>7</v>
      </c>
      <c r="J8" s="24" t="s">
        <v>8</v>
      </c>
      <c r="K8" s="22">
        <v>497</v>
      </c>
      <c r="L8" s="22">
        <v>35</v>
      </c>
    </row>
    <row r="9" spans="1:12" ht="15.75" thickBot="1" x14ac:dyDescent="0.3">
      <c r="A9" s="17">
        <v>45330.105266203704</v>
      </c>
      <c r="B9" s="18" t="s">
        <v>5</v>
      </c>
      <c r="C9" s="18" t="s">
        <v>6</v>
      </c>
      <c r="D9" s="18">
        <v>281</v>
      </c>
      <c r="E9" s="18">
        <v>50</v>
      </c>
      <c r="H9" s="21">
        <v>45425.368425925924</v>
      </c>
      <c r="I9" s="24" t="s">
        <v>5</v>
      </c>
      <c r="J9" s="24" t="s">
        <v>9</v>
      </c>
      <c r="K9" s="22">
        <v>247</v>
      </c>
      <c r="L9" s="24">
        <v>37</v>
      </c>
    </row>
    <row r="10" spans="1:12" ht="15.75" thickBot="1" x14ac:dyDescent="0.3">
      <c r="A10" s="17">
        <v>45339.631574074076</v>
      </c>
      <c r="B10" s="18" t="s">
        <v>5</v>
      </c>
      <c r="C10" s="18" t="s">
        <v>8</v>
      </c>
      <c r="D10" s="18">
        <v>334</v>
      </c>
      <c r="E10" s="18">
        <v>52</v>
      </c>
      <c r="H10" s="23">
        <v>45453.947372685187</v>
      </c>
      <c r="I10" s="22" t="s">
        <v>5</v>
      </c>
      <c r="J10" s="22" t="s">
        <v>8</v>
      </c>
      <c r="K10" s="22">
        <v>347</v>
      </c>
      <c r="L10" s="24">
        <v>44</v>
      </c>
    </row>
    <row r="11" spans="1:12" ht="15.75" thickBot="1" x14ac:dyDescent="0.3">
      <c r="A11" s="17">
        <v>45349.157893518517</v>
      </c>
      <c r="B11" s="18" t="s">
        <v>7</v>
      </c>
      <c r="C11" s="18" t="s">
        <v>9</v>
      </c>
      <c r="D11" s="18">
        <v>417</v>
      </c>
      <c r="E11" s="18">
        <v>29</v>
      </c>
      <c r="H11" s="21">
        <v>45292</v>
      </c>
      <c r="I11" s="31"/>
      <c r="J11" s="24" t="s">
        <v>8</v>
      </c>
      <c r="K11" s="22">
        <v>467</v>
      </c>
      <c r="L11" s="22">
        <v>45</v>
      </c>
    </row>
    <row r="12" spans="1:12" ht="15.75" thickBot="1" x14ac:dyDescent="0.3">
      <c r="A12" s="17">
        <v>45358.684212962966</v>
      </c>
      <c r="B12" s="18" t="s">
        <v>5</v>
      </c>
      <c r="C12" s="18" t="s">
        <v>9</v>
      </c>
      <c r="D12" s="18">
        <v>441</v>
      </c>
      <c r="E12" s="18">
        <v>44</v>
      </c>
      <c r="H12" s="23">
        <v>45320.578946759262</v>
      </c>
      <c r="I12" s="22" t="s">
        <v>7</v>
      </c>
      <c r="J12" s="24" t="s">
        <v>9</v>
      </c>
      <c r="K12" s="31"/>
      <c r="L12" s="24">
        <v>45</v>
      </c>
    </row>
    <row r="13" spans="1:12" ht="15.75" thickBot="1" x14ac:dyDescent="0.3">
      <c r="A13" s="17">
        <v>45368.210520833331</v>
      </c>
      <c r="B13" s="18" t="s">
        <v>7</v>
      </c>
      <c r="C13" s="18" t="s">
        <v>6</v>
      </c>
      <c r="D13" s="18">
        <v>76</v>
      </c>
      <c r="E13" s="18">
        <v>63</v>
      </c>
      <c r="H13" s="23">
        <v>45473</v>
      </c>
      <c r="I13" s="22" t="s">
        <v>11</v>
      </c>
      <c r="J13" s="22" t="s">
        <v>6</v>
      </c>
      <c r="K13" s="22">
        <v>281</v>
      </c>
      <c r="L13" s="22">
        <v>50</v>
      </c>
    </row>
    <row r="14" spans="1:12" ht="15.75" thickBot="1" x14ac:dyDescent="0.3">
      <c r="A14" s="17">
        <v>45377.736840277779</v>
      </c>
      <c r="B14" s="18" t="s">
        <v>5</v>
      </c>
      <c r="C14" s="18" t="s">
        <v>8</v>
      </c>
      <c r="D14" s="18">
        <v>441</v>
      </c>
      <c r="E14" s="18">
        <v>79</v>
      </c>
      <c r="H14" s="23">
        <v>45415.842106481483</v>
      </c>
      <c r="I14" s="22" t="s">
        <v>10</v>
      </c>
      <c r="J14" s="31"/>
      <c r="K14" s="24">
        <v>319</v>
      </c>
      <c r="L14" s="24">
        <v>52</v>
      </c>
    </row>
    <row r="15" spans="1:12" ht="15.75" thickBot="1" x14ac:dyDescent="0.3">
      <c r="A15" s="17">
        <v>45387.263159722221</v>
      </c>
      <c r="B15" s="18" t="s">
        <v>7</v>
      </c>
      <c r="C15" s="18" t="s">
        <v>6</v>
      </c>
      <c r="D15" s="18">
        <v>205</v>
      </c>
      <c r="E15" s="18">
        <v>23</v>
      </c>
      <c r="H15" s="21">
        <v>45349.157893518517</v>
      </c>
      <c r="I15" s="24" t="s">
        <v>5</v>
      </c>
      <c r="J15" s="24" t="s">
        <v>6</v>
      </c>
      <c r="K15" s="22">
        <v>205</v>
      </c>
      <c r="L15" s="24">
        <v>56</v>
      </c>
    </row>
    <row r="16" spans="1:12" ht="15.75" thickBot="1" x14ac:dyDescent="0.3">
      <c r="A16" s="17">
        <v>45396.789479166669</v>
      </c>
      <c r="B16" s="18" t="s">
        <v>5</v>
      </c>
      <c r="C16" s="18" t="s">
        <v>8</v>
      </c>
      <c r="D16" s="18">
        <v>483</v>
      </c>
      <c r="E16" s="18">
        <v>97</v>
      </c>
      <c r="H16" s="23">
        <v>45434.894733796296</v>
      </c>
      <c r="I16" s="22" t="s">
        <v>7</v>
      </c>
      <c r="J16" s="24" t="s">
        <v>9</v>
      </c>
      <c r="K16" s="24">
        <v>348</v>
      </c>
      <c r="L16" s="22">
        <v>63</v>
      </c>
    </row>
    <row r="17" spans="1:12" ht="15.75" thickBot="1" x14ac:dyDescent="0.3">
      <c r="A17" s="17">
        <v>45406.315787037034</v>
      </c>
      <c r="B17" s="18" t="s">
        <v>10</v>
      </c>
      <c r="C17" s="18" t="s">
        <v>6</v>
      </c>
      <c r="D17" s="18">
        <v>467</v>
      </c>
      <c r="E17" s="18">
        <v>97</v>
      </c>
      <c r="H17" s="23">
        <v>45339.631574074076</v>
      </c>
      <c r="I17" s="22" t="s">
        <v>5</v>
      </c>
      <c r="J17" s="22" t="s">
        <v>6</v>
      </c>
      <c r="K17" s="24">
        <v>441</v>
      </c>
      <c r="L17" s="22">
        <v>71</v>
      </c>
    </row>
    <row r="18" spans="1:12" ht="15.75" thickBot="1" x14ac:dyDescent="0.3">
      <c r="A18" s="17">
        <v>45415.842106481483</v>
      </c>
      <c r="B18" s="18" t="s">
        <v>5</v>
      </c>
      <c r="C18" s="18" t="s">
        <v>6</v>
      </c>
      <c r="D18" s="18">
        <v>380</v>
      </c>
      <c r="E18" s="18">
        <v>92</v>
      </c>
      <c r="H18" s="21">
        <v>45463.473680555559</v>
      </c>
      <c r="I18" s="24" t="s">
        <v>5</v>
      </c>
      <c r="J18" s="24" t="s">
        <v>9</v>
      </c>
      <c r="K18" s="24">
        <v>230</v>
      </c>
      <c r="L18" s="22">
        <v>76</v>
      </c>
    </row>
    <row r="19" spans="1:12" ht="15.75" thickBot="1" x14ac:dyDescent="0.3">
      <c r="A19" s="17">
        <v>45425.368425925924</v>
      </c>
      <c r="B19" s="18" t="s">
        <v>7</v>
      </c>
      <c r="C19" s="18" t="s">
        <v>8</v>
      </c>
      <c r="D19" s="18">
        <v>497</v>
      </c>
      <c r="E19" s="18">
        <v>71</v>
      </c>
      <c r="H19" s="23">
        <v>45377.736840277779</v>
      </c>
      <c r="I19" s="22" t="s">
        <v>7</v>
      </c>
      <c r="J19" s="24" t="s">
        <v>8</v>
      </c>
      <c r="K19" s="24">
        <v>380</v>
      </c>
      <c r="L19" s="24">
        <v>79</v>
      </c>
    </row>
    <row r="20" spans="1:12" ht="15.75" thickBot="1" x14ac:dyDescent="0.3">
      <c r="A20" s="17">
        <v>45434.894733796296</v>
      </c>
      <c r="B20" s="18" t="s">
        <v>7</v>
      </c>
      <c r="C20" s="18" t="s">
        <v>6</v>
      </c>
      <c r="D20" s="18">
        <v>409</v>
      </c>
      <c r="E20" s="18">
        <v>81</v>
      </c>
      <c r="H20" s="23">
        <v>45396.789479166669</v>
      </c>
      <c r="I20" s="22" t="s">
        <v>7</v>
      </c>
      <c r="J20" s="22" t="s">
        <v>9</v>
      </c>
      <c r="K20" s="22">
        <v>456</v>
      </c>
      <c r="L20" s="24">
        <v>81</v>
      </c>
    </row>
    <row r="21" spans="1:12" ht="15.75" thickBot="1" x14ac:dyDescent="0.3">
      <c r="A21" s="17">
        <v>45444.421053240738</v>
      </c>
      <c r="B21" s="18" t="s">
        <v>5</v>
      </c>
      <c r="C21" s="18" t="s">
        <v>8</v>
      </c>
      <c r="D21" s="18">
        <v>53</v>
      </c>
      <c r="E21" s="18">
        <v>45</v>
      </c>
      <c r="H21" s="21">
        <v>45444.421053240738</v>
      </c>
      <c r="I21" s="24" t="s">
        <v>7</v>
      </c>
      <c r="J21" s="22" t="s">
        <v>6</v>
      </c>
      <c r="K21" s="24">
        <v>441</v>
      </c>
      <c r="L21" s="24">
        <v>92</v>
      </c>
    </row>
    <row r="22" spans="1:12" ht="15.75" thickBot="1" x14ac:dyDescent="0.3">
      <c r="A22" s="17">
        <v>45453.947372685187</v>
      </c>
      <c r="B22" s="18" t="s">
        <v>5</v>
      </c>
      <c r="C22" s="18" t="s">
        <v>9</v>
      </c>
      <c r="D22" s="18">
        <v>398</v>
      </c>
      <c r="E22" s="18">
        <v>33</v>
      </c>
      <c r="H22" s="23">
        <v>45301.526319444441</v>
      </c>
      <c r="I22" s="22" t="s">
        <v>5</v>
      </c>
      <c r="J22" s="22" t="s">
        <v>6</v>
      </c>
      <c r="K22" s="22">
        <v>76</v>
      </c>
      <c r="L22" s="22">
        <v>93</v>
      </c>
    </row>
    <row r="23" spans="1:12" ht="15.75" thickBot="1" x14ac:dyDescent="0.3">
      <c r="A23" s="17">
        <v>45463.473680555559</v>
      </c>
      <c r="B23" s="18" t="s">
        <v>11</v>
      </c>
      <c r="C23" s="18" t="s">
        <v>8</v>
      </c>
      <c r="D23" s="18">
        <v>347</v>
      </c>
      <c r="E23" s="18">
        <v>35</v>
      </c>
      <c r="H23" s="21">
        <v>45330.105266203704</v>
      </c>
      <c r="I23" s="24" t="s">
        <v>5</v>
      </c>
      <c r="J23" s="24" t="s">
        <v>8</v>
      </c>
      <c r="K23" s="24">
        <v>409</v>
      </c>
      <c r="L23" s="24">
        <v>97</v>
      </c>
    </row>
    <row r="24" spans="1:12" ht="15.75" thickBot="1" x14ac:dyDescent="0.3">
      <c r="A24" s="19">
        <v>45473</v>
      </c>
      <c r="B24" s="20" t="s">
        <v>7</v>
      </c>
      <c r="C24" s="20" t="s">
        <v>9</v>
      </c>
      <c r="D24" s="20">
        <v>319</v>
      </c>
      <c r="E24" s="20">
        <v>45</v>
      </c>
      <c r="H24" s="23">
        <v>45358.684212962966</v>
      </c>
      <c r="I24" s="22" t="s">
        <v>7</v>
      </c>
      <c r="J24" s="22" t="s">
        <v>6</v>
      </c>
      <c r="K24" s="22">
        <v>417</v>
      </c>
      <c r="L24" s="22">
        <v>97</v>
      </c>
    </row>
    <row r="25" spans="1:12" ht="15.75" thickBot="1" x14ac:dyDescent="0.3">
      <c r="H25" s="21">
        <v>45368.210520833331</v>
      </c>
      <c r="I25" s="24" t="s">
        <v>5</v>
      </c>
      <c r="J25" s="22" t="s">
        <v>8</v>
      </c>
      <c r="K25" s="22">
        <v>53</v>
      </c>
      <c r="L25" s="31"/>
    </row>
    <row r="26" spans="1:12" x14ac:dyDescent="0.25">
      <c r="A26" s="11" t="s">
        <v>57</v>
      </c>
      <c r="H26" s="37" t="s">
        <v>53</v>
      </c>
      <c r="I26" s="36" t="s">
        <v>54</v>
      </c>
      <c r="J26" s="36" t="s">
        <v>54</v>
      </c>
      <c r="K26" s="37" t="s">
        <v>55</v>
      </c>
      <c r="L26" s="37" t="s">
        <v>55</v>
      </c>
    </row>
    <row r="27" spans="1:12" x14ac:dyDescent="0.25">
      <c r="A27" s="14" t="s">
        <v>59</v>
      </c>
      <c r="H27" s="12"/>
      <c r="I27" s="12"/>
      <c r="J27" s="12"/>
      <c r="K27" s="12"/>
      <c r="L27" s="12"/>
    </row>
    <row r="28" spans="1:12" ht="15.75" thickBot="1" x14ac:dyDescent="0.3">
      <c r="A28" t="s">
        <v>58</v>
      </c>
      <c r="G28" s="34" t="s">
        <v>56</v>
      </c>
      <c r="H28" s="35" t="s">
        <v>48</v>
      </c>
      <c r="I28" s="35" t="s">
        <v>49</v>
      </c>
      <c r="J28" s="35" t="s">
        <v>50</v>
      </c>
      <c r="K28" s="35" t="s">
        <v>51</v>
      </c>
      <c r="L28" s="35" t="s">
        <v>52</v>
      </c>
    </row>
    <row r="29" spans="1:12" ht="15.75" thickBot="1" x14ac:dyDescent="0.3">
      <c r="A29" s="38" t="s">
        <v>60</v>
      </c>
      <c r="H29" s="21">
        <v>45292</v>
      </c>
      <c r="I29" s="22" t="s">
        <v>5</v>
      </c>
      <c r="J29" s="22" t="s">
        <v>6</v>
      </c>
      <c r="K29" s="22">
        <v>456</v>
      </c>
      <c r="L29" s="22">
        <v>93</v>
      </c>
    </row>
    <row r="30" spans="1:12" ht="15.75" thickBot="1" x14ac:dyDescent="0.3">
      <c r="H30" s="23">
        <v>45301.526319444441</v>
      </c>
      <c r="I30" s="24" t="s">
        <v>7</v>
      </c>
      <c r="J30" s="24" t="s">
        <v>8</v>
      </c>
      <c r="K30" s="24">
        <v>348</v>
      </c>
      <c r="L30" s="24">
        <v>56</v>
      </c>
    </row>
    <row r="31" spans="1:12" ht="15.75" thickBot="1" x14ac:dyDescent="0.3">
      <c r="A31" s="13" t="s">
        <v>61</v>
      </c>
      <c r="H31" s="21">
        <v>45311.052627314813</v>
      </c>
      <c r="I31" s="22" t="s">
        <v>7</v>
      </c>
      <c r="J31" s="22" t="s">
        <v>6</v>
      </c>
      <c r="K31" s="22">
        <v>247</v>
      </c>
      <c r="L31" s="22">
        <v>76</v>
      </c>
    </row>
    <row r="32" spans="1:12" ht="15.75" thickBot="1" x14ac:dyDescent="0.3">
      <c r="A32" t="s">
        <v>62</v>
      </c>
      <c r="H32" s="23">
        <v>45320.578946759262</v>
      </c>
      <c r="I32" s="24" t="s">
        <v>5</v>
      </c>
      <c r="J32" s="24" t="s">
        <v>9</v>
      </c>
      <c r="K32" s="24">
        <v>230</v>
      </c>
      <c r="L32" s="24">
        <v>37</v>
      </c>
    </row>
    <row r="33" spans="1:12" ht="15.75" thickBot="1" x14ac:dyDescent="0.3">
      <c r="A33" t="s">
        <v>63</v>
      </c>
      <c r="H33" s="21">
        <v>45330.105266203704</v>
      </c>
      <c r="I33" s="22" t="s">
        <v>5</v>
      </c>
      <c r="J33" s="22" t="s">
        <v>6</v>
      </c>
      <c r="K33" s="22">
        <v>281</v>
      </c>
      <c r="L33" s="22">
        <v>50</v>
      </c>
    </row>
    <row r="34" spans="1:12" ht="15.75" thickBot="1" x14ac:dyDescent="0.3">
      <c r="H34" s="23">
        <v>45339.631574074076</v>
      </c>
      <c r="I34" s="24" t="s">
        <v>5</v>
      </c>
      <c r="J34" s="24" t="s">
        <v>8</v>
      </c>
      <c r="K34" s="24">
        <v>334</v>
      </c>
      <c r="L34" s="24">
        <v>52</v>
      </c>
    </row>
    <row r="35" spans="1:12" ht="15.75" thickBot="1" x14ac:dyDescent="0.3">
      <c r="H35" s="21">
        <v>45349.157893518517</v>
      </c>
      <c r="I35" s="22" t="s">
        <v>7</v>
      </c>
      <c r="J35" s="22" t="s">
        <v>9</v>
      </c>
      <c r="K35" s="22">
        <v>417</v>
      </c>
      <c r="L35" s="22">
        <v>29</v>
      </c>
    </row>
    <row r="36" spans="1:12" ht="15.75" thickBot="1" x14ac:dyDescent="0.3">
      <c r="H36" s="23">
        <v>45358.684212962966</v>
      </c>
      <c r="I36" s="24" t="s">
        <v>5</v>
      </c>
      <c r="J36" s="24" t="s">
        <v>9</v>
      </c>
      <c r="K36" s="24">
        <v>441</v>
      </c>
      <c r="L36" s="24">
        <v>44</v>
      </c>
    </row>
    <row r="37" spans="1:12" ht="15.75" thickBot="1" x14ac:dyDescent="0.3">
      <c r="H37" s="21">
        <v>45368.210520833331</v>
      </c>
      <c r="I37" s="22" t="s">
        <v>7</v>
      </c>
      <c r="J37" s="22" t="s">
        <v>6</v>
      </c>
      <c r="K37" s="22">
        <v>76</v>
      </c>
      <c r="L37" s="22">
        <v>63</v>
      </c>
    </row>
    <row r="38" spans="1:12" ht="15.75" thickBot="1" x14ac:dyDescent="0.3">
      <c r="H38" s="23">
        <v>45377.736840277779</v>
      </c>
      <c r="I38" s="24" t="s">
        <v>5</v>
      </c>
      <c r="J38" s="24" t="s">
        <v>8</v>
      </c>
      <c r="K38" s="24">
        <v>441</v>
      </c>
      <c r="L38" s="24">
        <v>79</v>
      </c>
    </row>
    <row r="39" spans="1:12" ht="15.75" thickBot="1" x14ac:dyDescent="0.3">
      <c r="H39" s="21">
        <v>45387.263159722221</v>
      </c>
      <c r="I39" s="22" t="s">
        <v>7</v>
      </c>
      <c r="J39" s="22" t="s">
        <v>6</v>
      </c>
      <c r="K39" s="22">
        <v>205</v>
      </c>
      <c r="L39" s="22">
        <v>23</v>
      </c>
    </row>
    <row r="40" spans="1:12" ht="15.75" thickBot="1" x14ac:dyDescent="0.3">
      <c r="H40" s="23">
        <v>45396.789479166669</v>
      </c>
      <c r="I40" s="24" t="s">
        <v>5</v>
      </c>
      <c r="J40" s="24" t="s">
        <v>8</v>
      </c>
      <c r="K40" s="24">
        <v>483</v>
      </c>
      <c r="L40" s="24">
        <v>97</v>
      </c>
    </row>
    <row r="41" spans="1:12" ht="15.75" thickBot="1" x14ac:dyDescent="0.3">
      <c r="H41" s="21">
        <v>45406.315787037034</v>
      </c>
      <c r="I41" s="22" t="s">
        <v>10</v>
      </c>
      <c r="J41" s="22" t="s">
        <v>6</v>
      </c>
      <c r="K41" s="22">
        <v>467</v>
      </c>
      <c r="L41" s="22">
        <v>97</v>
      </c>
    </row>
    <row r="42" spans="1:12" ht="15.75" thickBot="1" x14ac:dyDescent="0.3">
      <c r="H42" s="23">
        <v>45415.842106481483</v>
      </c>
      <c r="I42" s="24" t="s">
        <v>5</v>
      </c>
      <c r="J42" s="24" t="s">
        <v>6</v>
      </c>
      <c r="K42" s="24">
        <v>380</v>
      </c>
      <c r="L42" s="24">
        <v>92</v>
      </c>
    </row>
    <row r="43" spans="1:12" ht="15.75" thickBot="1" x14ac:dyDescent="0.3">
      <c r="H43" s="21">
        <v>45425.368425925924</v>
      </c>
      <c r="I43" s="22" t="s">
        <v>7</v>
      </c>
      <c r="J43" s="22" t="s">
        <v>8</v>
      </c>
      <c r="K43" s="22">
        <v>497</v>
      </c>
      <c r="L43" s="22">
        <v>71</v>
      </c>
    </row>
    <row r="44" spans="1:12" ht="15.75" thickBot="1" x14ac:dyDescent="0.3">
      <c r="H44" s="23">
        <v>45434.894733796296</v>
      </c>
      <c r="I44" s="24" t="s">
        <v>7</v>
      </c>
      <c r="J44" s="24" t="s">
        <v>6</v>
      </c>
      <c r="K44" s="24">
        <v>409</v>
      </c>
      <c r="L44" s="24">
        <v>81</v>
      </c>
    </row>
    <row r="45" spans="1:12" ht="15.75" thickBot="1" x14ac:dyDescent="0.3">
      <c r="H45" s="21">
        <v>45444.421053240738</v>
      </c>
      <c r="I45" s="22" t="s">
        <v>5</v>
      </c>
      <c r="J45" s="22" t="s">
        <v>8</v>
      </c>
      <c r="K45" s="22">
        <v>53</v>
      </c>
      <c r="L45" s="22">
        <v>45</v>
      </c>
    </row>
    <row r="46" spans="1:12" ht="15.75" thickBot="1" x14ac:dyDescent="0.3">
      <c r="H46" s="23">
        <v>45453.947372685187</v>
      </c>
      <c r="I46" s="24" t="s">
        <v>5</v>
      </c>
      <c r="J46" s="24" t="s">
        <v>9</v>
      </c>
      <c r="K46" s="24">
        <v>398</v>
      </c>
      <c r="L46" s="24">
        <v>33</v>
      </c>
    </row>
    <row r="47" spans="1:12" ht="15.75" thickBot="1" x14ac:dyDescent="0.3">
      <c r="H47" s="21">
        <v>45463.473680555559</v>
      </c>
      <c r="I47" s="22" t="s">
        <v>11</v>
      </c>
      <c r="J47" s="22" t="s">
        <v>8</v>
      </c>
      <c r="K47" s="22">
        <v>347</v>
      </c>
      <c r="L47" s="22">
        <v>35</v>
      </c>
    </row>
    <row r="48" spans="1:12" ht="15.75" thickBot="1" x14ac:dyDescent="0.3">
      <c r="H48" s="23">
        <v>45473</v>
      </c>
      <c r="I48" s="24" t="s">
        <v>7</v>
      </c>
      <c r="J48" s="24" t="s">
        <v>9</v>
      </c>
      <c r="K48" s="24">
        <v>319</v>
      </c>
      <c r="L48" s="24">
        <v>45</v>
      </c>
    </row>
  </sheetData>
  <autoFilter ref="G28:L48"/>
  <sortState ref="G5:L25">
    <sortCondition ref="L5:L25"/>
  </sortState>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election activeCell="I6" sqref="I6"/>
    </sheetView>
  </sheetViews>
  <sheetFormatPr defaultRowHeight="15" x14ac:dyDescent="0.25"/>
  <cols>
    <col min="1" max="1" width="15.5703125" bestFit="1" customWidth="1"/>
    <col min="2" max="2" width="11.7109375" bestFit="1" customWidth="1"/>
    <col min="3" max="3" width="12.42578125" bestFit="1" customWidth="1"/>
    <col min="4" max="4" width="10.140625" bestFit="1" customWidth="1"/>
    <col min="5" max="5" width="13.28515625" bestFit="1" customWidth="1"/>
    <col min="10" max="10" width="13.140625" customWidth="1"/>
    <col min="11" max="11" width="12.140625" bestFit="1" customWidth="1"/>
  </cols>
  <sheetData>
    <row r="1" spans="1:11" x14ac:dyDescent="0.25">
      <c r="A1" s="11" t="s">
        <v>64</v>
      </c>
    </row>
    <row r="2" spans="1:11" x14ac:dyDescent="0.25">
      <c r="A2" s="11" t="s">
        <v>65</v>
      </c>
    </row>
    <row r="4" spans="1:11" ht="15.75" thickBot="1" x14ac:dyDescent="0.3">
      <c r="A4" s="15" t="s">
        <v>0</v>
      </c>
      <c r="B4" s="16" t="s">
        <v>1</v>
      </c>
      <c r="C4" s="16" t="s">
        <v>2</v>
      </c>
      <c r="D4" s="16" t="s">
        <v>3</v>
      </c>
      <c r="E4" s="16" t="s">
        <v>4</v>
      </c>
      <c r="J4" s="25" t="s">
        <v>39</v>
      </c>
      <c r="K4" t="s">
        <v>41</v>
      </c>
    </row>
    <row r="5" spans="1:11" ht="15.75" thickBot="1" x14ac:dyDescent="0.3">
      <c r="A5" s="17">
        <v>45292</v>
      </c>
      <c r="B5" s="18" t="s">
        <v>5</v>
      </c>
      <c r="C5" s="18" t="s">
        <v>6</v>
      </c>
      <c r="D5" s="18">
        <v>456</v>
      </c>
      <c r="E5" s="18">
        <v>93</v>
      </c>
      <c r="J5" s="39" t="s">
        <v>66</v>
      </c>
      <c r="K5" s="27">
        <v>1281</v>
      </c>
    </row>
    <row r="6" spans="1:11" ht="15.75" thickBot="1" x14ac:dyDescent="0.3">
      <c r="A6" s="17">
        <v>45301.526319444441</v>
      </c>
      <c r="B6" s="18" t="s">
        <v>7</v>
      </c>
      <c r="C6" s="18" t="s">
        <v>8</v>
      </c>
      <c r="D6" s="18">
        <v>348</v>
      </c>
      <c r="E6" s="18">
        <v>56</v>
      </c>
      <c r="J6" s="39" t="s">
        <v>67</v>
      </c>
      <c r="K6" s="27">
        <v>1032</v>
      </c>
    </row>
    <row r="7" spans="1:11" ht="15.75" thickBot="1" x14ac:dyDescent="0.3">
      <c r="A7" s="17">
        <v>45311.052627314813</v>
      </c>
      <c r="B7" s="18" t="s">
        <v>7</v>
      </c>
      <c r="C7" s="18" t="s">
        <v>6</v>
      </c>
      <c r="D7" s="18">
        <v>247</v>
      </c>
      <c r="E7" s="18">
        <v>76</v>
      </c>
      <c r="J7" s="39" t="s">
        <v>68</v>
      </c>
      <c r="K7" s="27">
        <v>958</v>
      </c>
    </row>
    <row r="8" spans="1:11" ht="15.75" thickBot="1" x14ac:dyDescent="0.3">
      <c r="A8" s="17">
        <v>45320.578946759262</v>
      </c>
      <c r="B8" s="18" t="s">
        <v>5</v>
      </c>
      <c r="C8" s="18" t="s">
        <v>9</v>
      </c>
      <c r="D8" s="18">
        <v>230</v>
      </c>
      <c r="E8" s="18">
        <v>37</v>
      </c>
      <c r="J8" s="39" t="s">
        <v>69</v>
      </c>
      <c r="K8" s="27">
        <v>1155</v>
      </c>
    </row>
    <row r="9" spans="1:11" ht="15.75" thickBot="1" x14ac:dyDescent="0.3">
      <c r="A9" s="17">
        <v>45330.105266203704</v>
      </c>
      <c r="B9" s="18" t="s">
        <v>5</v>
      </c>
      <c r="C9" s="18" t="s">
        <v>6</v>
      </c>
      <c r="D9" s="18">
        <v>281</v>
      </c>
      <c r="E9" s="18">
        <v>50</v>
      </c>
      <c r="J9" s="39" t="s">
        <v>70</v>
      </c>
      <c r="K9" s="27">
        <v>1286</v>
      </c>
    </row>
    <row r="10" spans="1:11" ht="15.75" thickBot="1" x14ac:dyDescent="0.3">
      <c r="A10" s="17">
        <v>45339.631574074076</v>
      </c>
      <c r="B10" s="18" t="s">
        <v>5</v>
      </c>
      <c r="C10" s="18" t="s">
        <v>8</v>
      </c>
      <c r="D10" s="18">
        <v>334</v>
      </c>
      <c r="E10" s="18">
        <v>52</v>
      </c>
      <c r="J10" s="39" t="s">
        <v>71</v>
      </c>
      <c r="K10" s="27">
        <v>1117</v>
      </c>
    </row>
    <row r="11" spans="1:11" ht="15.75" thickBot="1" x14ac:dyDescent="0.3">
      <c r="A11" s="17">
        <v>45349.157893518517</v>
      </c>
      <c r="B11" s="18" t="s">
        <v>7</v>
      </c>
      <c r="C11" s="18" t="s">
        <v>9</v>
      </c>
      <c r="D11" s="18">
        <v>417</v>
      </c>
      <c r="E11" s="18">
        <v>29</v>
      </c>
      <c r="J11" s="39" t="s">
        <v>40</v>
      </c>
      <c r="K11" s="27">
        <v>6829</v>
      </c>
    </row>
    <row r="12" spans="1:11" ht="15.75" thickBot="1" x14ac:dyDescent="0.3">
      <c r="A12" s="17">
        <v>45358.684212962966</v>
      </c>
      <c r="B12" s="18" t="s">
        <v>5</v>
      </c>
      <c r="C12" s="18" t="s">
        <v>9</v>
      </c>
      <c r="D12" s="18">
        <v>441</v>
      </c>
      <c r="E12" s="18">
        <v>44</v>
      </c>
    </row>
    <row r="13" spans="1:11" ht="15.75" thickBot="1" x14ac:dyDescent="0.3">
      <c r="A13" s="17">
        <v>45368.210520833331</v>
      </c>
      <c r="B13" s="18" t="s">
        <v>7</v>
      </c>
      <c r="C13" s="18" t="s">
        <v>6</v>
      </c>
      <c r="D13" s="18">
        <v>76</v>
      </c>
      <c r="E13" s="18">
        <v>63</v>
      </c>
    </row>
    <row r="14" spans="1:11" ht="15.75" thickBot="1" x14ac:dyDescent="0.3">
      <c r="A14" s="17">
        <v>45377.736840277779</v>
      </c>
      <c r="B14" s="18" t="s">
        <v>5</v>
      </c>
      <c r="C14" s="18" t="s">
        <v>8</v>
      </c>
      <c r="D14" s="18">
        <v>441</v>
      </c>
      <c r="E14" s="18">
        <v>79</v>
      </c>
    </row>
    <row r="15" spans="1:11" ht="15.75" thickBot="1" x14ac:dyDescent="0.3">
      <c r="A15" s="17">
        <v>45387.263159722221</v>
      </c>
      <c r="B15" s="18" t="s">
        <v>7</v>
      </c>
      <c r="C15" s="18" t="s">
        <v>6</v>
      </c>
      <c r="D15" s="18">
        <v>205</v>
      </c>
      <c r="E15" s="18">
        <v>23</v>
      </c>
    </row>
    <row r="16" spans="1:11" ht="15.75" thickBot="1" x14ac:dyDescent="0.3">
      <c r="A16" s="17">
        <v>45396.789479166669</v>
      </c>
      <c r="B16" s="18" t="s">
        <v>5</v>
      </c>
      <c r="C16" s="18" t="s">
        <v>8</v>
      </c>
      <c r="D16" s="18">
        <v>483</v>
      </c>
      <c r="E16" s="18">
        <v>97</v>
      </c>
    </row>
    <row r="17" spans="1:5" ht="15.75" thickBot="1" x14ac:dyDescent="0.3">
      <c r="A17" s="17">
        <v>45406.315787037034</v>
      </c>
      <c r="B17" s="18" t="s">
        <v>10</v>
      </c>
      <c r="C17" s="18" t="s">
        <v>6</v>
      </c>
      <c r="D17" s="18">
        <v>467</v>
      </c>
      <c r="E17" s="18">
        <v>97</v>
      </c>
    </row>
    <row r="18" spans="1:5" ht="15.75" thickBot="1" x14ac:dyDescent="0.3">
      <c r="A18" s="17">
        <v>45415.842106481483</v>
      </c>
      <c r="B18" s="18" t="s">
        <v>5</v>
      </c>
      <c r="C18" s="18" t="s">
        <v>6</v>
      </c>
      <c r="D18" s="18">
        <v>380</v>
      </c>
      <c r="E18" s="18">
        <v>92</v>
      </c>
    </row>
    <row r="19" spans="1:5" ht="15.75" thickBot="1" x14ac:dyDescent="0.3">
      <c r="A19" s="17">
        <v>45425.368425925924</v>
      </c>
      <c r="B19" s="18" t="s">
        <v>7</v>
      </c>
      <c r="C19" s="18" t="s">
        <v>8</v>
      </c>
      <c r="D19" s="18">
        <v>497</v>
      </c>
      <c r="E19" s="18">
        <v>71</v>
      </c>
    </row>
    <row r="20" spans="1:5" ht="15.75" thickBot="1" x14ac:dyDescent="0.3">
      <c r="A20" s="17">
        <v>45434.894733796296</v>
      </c>
      <c r="B20" s="18" t="s">
        <v>7</v>
      </c>
      <c r="C20" s="18" t="s">
        <v>6</v>
      </c>
      <c r="D20" s="18">
        <v>409</v>
      </c>
      <c r="E20" s="18">
        <v>81</v>
      </c>
    </row>
    <row r="21" spans="1:5" ht="15.75" thickBot="1" x14ac:dyDescent="0.3">
      <c r="A21" s="17">
        <v>45444.421053240738</v>
      </c>
      <c r="B21" s="18" t="s">
        <v>5</v>
      </c>
      <c r="C21" s="18" t="s">
        <v>8</v>
      </c>
      <c r="D21" s="18">
        <v>53</v>
      </c>
      <c r="E21" s="18">
        <v>45</v>
      </c>
    </row>
    <row r="22" spans="1:5" ht="15.75" thickBot="1" x14ac:dyDescent="0.3">
      <c r="A22" s="17">
        <v>45453.947372685187</v>
      </c>
      <c r="B22" s="18" t="s">
        <v>5</v>
      </c>
      <c r="C22" s="18" t="s">
        <v>9</v>
      </c>
      <c r="D22" s="18">
        <v>398</v>
      </c>
      <c r="E22" s="18">
        <v>33</v>
      </c>
    </row>
    <row r="23" spans="1:5" ht="15.75" thickBot="1" x14ac:dyDescent="0.3">
      <c r="A23" s="17">
        <v>45463.473680555559</v>
      </c>
      <c r="B23" s="18" t="s">
        <v>11</v>
      </c>
      <c r="C23" s="18" t="s">
        <v>8</v>
      </c>
      <c r="D23" s="18">
        <v>347</v>
      </c>
      <c r="E23" s="18">
        <v>35</v>
      </c>
    </row>
    <row r="24" spans="1:5" x14ac:dyDescent="0.25">
      <c r="A24" s="19">
        <v>45473</v>
      </c>
      <c r="B24" s="20" t="s">
        <v>7</v>
      </c>
      <c r="C24" s="20" t="s">
        <v>9</v>
      </c>
      <c r="D24" s="20">
        <v>319</v>
      </c>
      <c r="E24" s="20">
        <v>45</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workbookViewId="0">
      <selection activeCell="A4" sqref="A4:E24"/>
    </sheetView>
  </sheetViews>
  <sheetFormatPr defaultRowHeight="15" x14ac:dyDescent="0.25"/>
  <cols>
    <col min="1" max="1" width="15.5703125" bestFit="1" customWidth="1"/>
    <col min="2" max="2" width="11.7109375" bestFit="1" customWidth="1"/>
    <col min="3" max="3" width="12.42578125" bestFit="1" customWidth="1"/>
    <col min="4" max="4" width="10.140625" bestFit="1" customWidth="1"/>
    <col min="5" max="5" width="13.28515625" bestFit="1" customWidth="1"/>
    <col min="10" max="10" width="15.5703125" bestFit="1" customWidth="1"/>
    <col min="11" max="11" width="16" bestFit="1" customWidth="1"/>
    <col min="12" max="12" width="16.42578125" bestFit="1" customWidth="1"/>
    <col min="13" max="13" width="14.140625" bestFit="1" customWidth="1"/>
    <col min="14" max="14" width="17" bestFit="1" customWidth="1"/>
  </cols>
  <sheetData>
    <row r="1" spans="1:14" x14ac:dyDescent="0.25">
      <c r="A1" s="11" t="s">
        <v>72</v>
      </c>
    </row>
    <row r="2" spans="1:14" x14ac:dyDescent="0.25">
      <c r="A2" s="11" t="s">
        <v>73</v>
      </c>
    </row>
    <row r="4" spans="1:14" ht="15.75" thickBot="1" x14ac:dyDescent="0.3">
      <c r="A4" s="15" t="s">
        <v>0</v>
      </c>
      <c r="B4" s="16" t="s">
        <v>1</v>
      </c>
      <c r="C4" s="16" t="s">
        <v>2</v>
      </c>
      <c r="D4" s="16" t="s">
        <v>3</v>
      </c>
      <c r="E4" s="16" t="s">
        <v>4</v>
      </c>
      <c r="I4" s="40" t="s">
        <v>56</v>
      </c>
      <c r="J4" s="41" t="s">
        <v>48</v>
      </c>
      <c r="K4" s="41" t="s">
        <v>49</v>
      </c>
      <c r="L4" s="41" t="s">
        <v>50</v>
      </c>
      <c r="M4" s="41" t="s">
        <v>51</v>
      </c>
      <c r="N4" s="41" t="s">
        <v>52</v>
      </c>
    </row>
    <row r="5" spans="1:14" ht="15.75" thickBot="1" x14ac:dyDescent="0.3">
      <c r="A5" s="17">
        <v>45292</v>
      </c>
      <c r="B5" s="18" t="s">
        <v>5</v>
      </c>
      <c r="C5" s="18" t="s">
        <v>6</v>
      </c>
      <c r="D5" s="18">
        <v>456</v>
      </c>
      <c r="E5" s="18">
        <v>93</v>
      </c>
      <c r="I5" s="42"/>
      <c r="J5" s="5">
        <v>45292</v>
      </c>
      <c r="K5" s="6" t="s">
        <v>5</v>
      </c>
      <c r="L5" s="6" t="s">
        <v>6</v>
      </c>
      <c r="M5" s="6">
        <v>456</v>
      </c>
      <c r="N5" s="6">
        <v>93</v>
      </c>
    </row>
    <row r="6" spans="1:14" ht="15.75" thickBot="1" x14ac:dyDescent="0.3">
      <c r="A6" s="17">
        <v>45301.526319444441</v>
      </c>
      <c r="B6" s="18" t="s">
        <v>7</v>
      </c>
      <c r="C6" s="18" t="s">
        <v>8</v>
      </c>
      <c r="D6" s="18">
        <v>348</v>
      </c>
      <c r="E6" s="18">
        <v>56</v>
      </c>
      <c r="I6" s="42"/>
      <c r="J6" s="7">
        <v>45301.526319444441</v>
      </c>
      <c r="K6" s="8" t="s">
        <v>7</v>
      </c>
      <c r="L6" s="8" t="s">
        <v>8</v>
      </c>
      <c r="M6" s="8">
        <v>348</v>
      </c>
      <c r="N6" s="8">
        <v>56</v>
      </c>
    </row>
    <row r="7" spans="1:14" ht="15.75" thickBot="1" x14ac:dyDescent="0.3">
      <c r="A7" s="17">
        <v>45311.052627314813</v>
      </c>
      <c r="B7" s="18" t="s">
        <v>7</v>
      </c>
      <c r="C7" s="18" t="s">
        <v>6</v>
      </c>
      <c r="D7" s="18">
        <v>247</v>
      </c>
      <c r="E7" s="18">
        <v>76</v>
      </c>
      <c r="I7" s="42"/>
      <c r="J7" s="5">
        <v>45311.052627314813</v>
      </c>
      <c r="K7" s="6" t="s">
        <v>7</v>
      </c>
      <c r="L7" s="6" t="s">
        <v>6</v>
      </c>
      <c r="M7" s="6">
        <v>247</v>
      </c>
      <c r="N7" s="6">
        <v>76</v>
      </c>
    </row>
    <row r="8" spans="1:14" ht="15.75" thickBot="1" x14ac:dyDescent="0.3">
      <c r="A8" s="17">
        <v>45320.578946759262</v>
      </c>
      <c r="B8" s="18" t="s">
        <v>5</v>
      </c>
      <c r="C8" s="18" t="s">
        <v>9</v>
      </c>
      <c r="D8" s="18">
        <v>230</v>
      </c>
      <c r="E8" s="18">
        <v>37</v>
      </c>
      <c r="I8" s="42"/>
      <c r="J8" s="7">
        <v>45320.578946759262</v>
      </c>
      <c r="K8" s="8" t="s">
        <v>5</v>
      </c>
      <c r="L8" s="8" t="s">
        <v>9</v>
      </c>
      <c r="M8" s="8">
        <v>230</v>
      </c>
      <c r="N8" s="8">
        <v>37</v>
      </c>
    </row>
    <row r="9" spans="1:14" ht="15.75" thickBot="1" x14ac:dyDescent="0.3">
      <c r="A9" s="17">
        <v>45330.105266203704</v>
      </c>
      <c r="B9" s="18" t="s">
        <v>5</v>
      </c>
      <c r="C9" s="18" t="s">
        <v>6</v>
      </c>
      <c r="D9" s="18">
        <v>281</v>
      </c>
      <c r="E9" s="18">
        <v>50</v>
      </c>
      <c r="I9" s="42"/>
      <c r="J9" s="5">
        <v>45330.105266203704</v>
      </c>
      <c r="K9" s="6" t="s">
        <v>5</v>
      </c>
      <c r="L9" s="6" t="s">
        <v>6</v>
      </c>
      <c r="M9" s="6">
        <v>281</v>
      </c>
      <c r="N9" s="6">
        <v>50</v>
      </c>
    </row>
    <row r="10" spans="1:14" ht="15.75" thickBot="1" x14ac:dyDescent="0.3">
      <c r="A10" s="17">
        <v>45339.631574074076</v>
      </c>
      <c r="B10" s="18" t="s">
        <v>5</v>
      </c>
      <c r="C10" s="18" t="s">
        <v>8</v>
      </c>
      <c r="D10" s="18">
        <v>334</v>
      </c>
      <c r="E10" s="18">
        <v>52</v>
      </c>
      <c r="I10" s="42"/>
      <c r="J10" s="7">
        <v>45339.631574074076</v>
      </c>
      <c r="K10" s="8" t="s">
        <v>5</v>
      </c>
      <c r="L10" s="8" t="s">
        <v>8</v>
      </c>
      <c r="M10" s="8">
        <v>334</v>
      </c>
      <c r="N10" s="8">
        <v>52</v>
      </c>
    </row>
    <row r="11" spans="1:14" ht="15.75" thickBot="1" x14ac:dyDescent="0.3">
      <c r="A11" s="17">
        <v>45349.157893518517</v>
      </c>
      <c r="B11" s="18" t="s">
        <v>7</v>
      </c>
      <c r="C11" s="18" t="s">
        <v>9</v>
      </c>
      <c r="D11" s="18">
        <v>417</v>
      </c>
      <c r="E11" s="18">
        <v>29</v>
      </c>
      <c r="I11" s="42"/>
      <c r="J11" s="5">
        <v>45349.157893518517</v>
      </c>
      <c r="K11" s="6" t="s">
        <v>7</v>
      </c>
      <c r="L11" s="6" t="s">
        <v>9</v>
      </c>
      <c r="M11" s="6">
        <v>417</v>
      </c>
      <c r="N11" s="6">
        <v>29</v>
      </c>
    </row>
    <row r="12" spans="1:14" ht="15.75" thickBot="1" x14ac:dyDescent="0.3">
      <c r="A12" s="17">
        <v>45358.684212962966</v>
      </c>
      <c r="B12" s="18" t="s">
        <v>5</v>
      </c>
      <c r="C12" s="18" t="s">
        <v>9</v>
      </c>
      <c r="D12" s="18">
        <v>441</v>
      </c>
      <c r="E12" s="18">
        <v>44</v>
      </c>
      <c r="I12" s="42"/>
      <c r="J12" s="7">
        <v>45358.684212962966</v>
      </c>
      <c r="K12" s="8" t="s">
        <v>5</v>
      </c>
      <c r="L12" s="8" t="s">
        <v>9</v>
      </c>
      <c r="M12" s="8">
        <v>441</v>
      </c>
      <c r="N12" s="8">
        <v>44</v>
      </c>
    </row>
    <row r="13" spans="1:14" ht="15.75" thickBot="1" x14ac:dyDescent="0.3">
      <c r="A13" s="17">
        <v>45368.210520833331</v>
      </c>
      <c r="B13" s="18" t="s">
        <v>7</v>
      </c>
      <c r="C13" s="18" t="s">
        <v>6</v>
      </c>
      <c r="D13" s="18">
        <v>76</v>
      </c>
      <c r="E13" s="18">
        <v>63</v>
      </c>
      <c r="I13" s="42"/>
      <c r="J13" s="5">
        <v>45368.210520833331</v>
      </c>
      <c r="K13" s="6" t="s">
        <v>7</v>
      </c>
      <c r="L13" s="6" t="s">
        <v>6</v>
      </c>
      <c r="M13" s="6">
        <v>76</v>
      </c>
      <c r="N13" s="6">
        <v>63</v>
      </c>
    </row>
    <row r="14" spans="1:14" ht="15.75" thickBot="1" x14ac:dyDescent="0.3">
      <c r="A14" s="17">
        <v>45377.736840277779</v>
      </c>
      <c r="B14" s="18" t="s">
        <v>5</v>
      </c>
      <c r="C14" s="18" t="s">
        <v>8</v>
      </c>
      <c r="D14" s="18">
        <v>441</v>
      </c>
      <c r="E14" s="18">
        <v>79</v>
      </c>
      <c r="I14" s="42"/>
      <c r="J14" s="7">
        <v>45377.736840277779</v>
      </c>
      <c r="K14" s="8" t="s">
        <v>5</v>
      </c>
      <c r="L14" s="8" t="s">
        <v>8</v>
      </c>
      <c r="M14" s="8">
        <v>441</v>
      </c>
      <c r="N14" s="8">
        <v>79</v>
      </c>
    </row>
    <row r="15" spans="1:14" ht="15.75" thickBot="1" x14ac:dyDescent="0.3">
      <c r="A15" s="17">
        <v>45387.263159722221</v>
      </c>
      <c r="B15" s="18" t="s">
        <v>7</v>
      </c>
      <c r="C15" s="18" t="s">
        <v>6</v>
      </c>
      <c r="D15" s="18">
        <v>205</v>
      </c>
      <c r="E15" s="18">
        <v>23</v>
      </c>
      <c r="I15" s="42"/>
      <c r="J15" s="5">
        <v>45387.263159722221</v>
      </c>
      <c r="K15" s="6" t="s">
        <v>7</v>
      </c>
      <c r="L15" s="6" t="s">
        <v>6</v>
      </c>
      <c r="M15" s="6">
        <v>205</v>
      </c>
      <c r="N15" s="6">
        <v>23</v>
      </c>
    </row>
    <row r="16" spans="1:14" ht="15.75" thickBot="1" x14ac:dyDescent="0.3">
      <c r="A16" s="17">
        <v>45396.789479166669</v>
      </c>
      <c r="B16" s="18" t="s">
        <v>5</v>
      </c>
      <c r="C16" s="18" t="s">
        <v>8</v>
      </c>
      <c r="D16" s="18">
        <v>483</v>
      </c>
      <c r="E16" s="18">
        <v>97</v>
      </c>
      <c r="I16" s="42"/>
      <c r="J16" s="7">
        <v>45396.789479166669</v>
      </c>
      <c r="K16" s="8" t="s">
        <v>5</v>
      </c>
      <c r="L16" s="8" t="s">
        <v>8</v>
      </c>
      <c r="M16" s="8">
        <v>483</v>
      </c>
      <c r="N16" s="8">
        <v>97</v>
      </c>
    </row>
    <row r="17" spans="1:14" ht="15.75" thickBot="1" x14ac:dyDescent="0.3">
      <c r="A17" s="17">
        <v>45406.315787037034</v>
      </c>
      <c r="B17" s="18" t="s">
        <v>10</v>
      </c>
      <c r="C17" s="18" t="s">
        <v>6</v>
      </c>
      <c r="D17" s="18">
        <v>467</v>
      </c>
      <c r="E17" s="18">
        <v>97</v>
      </c>
      <c r="I17" s="42"/>
      <c r="J17" s="5">
        <v>45406.315787037034</v>
      </c>
      <c r="K17" s="6" t="s">
        <v>10</v>
      </c>
      <c r="L17" s="6" t="s">
        <v>6</v>
      </c>
      <c r="M17" s="6">
        <v>467</v>
      </c>
      <c r="N17" s="6">
        <v>97</v>
      </c>
    </row>
    <row r="18" spans="1:14" ht="15.75" thickBot="1" x14ac:dyDescent="0.3">
      <c r="A18" s="17">
        <v>45415.842106481483</v>
      </c>
      <c r="B18" s="18" t="s">
        <v>5</v>
      </c>
      <c r="C18" s="18" t="s">
        <v>6</v>
      </c>
      <c r="D18" s="18">
        <v>380</v>
      </c>
      <c r="E18" s="18">
        <v>92</v>
      </c>
      <c r="I18" s="42"/>
      <c r="J18" s="7">
        <v>45415.842106481483</v>
      </c>
      <c r="K18" s="8" t="s">
        <v>5</v>
      </c>
      <c r="L18" s="8" t="s">
        <v>6</v>
      </c>
      <c r="M18" s="8">
        <v>380</v>
      </c>
      <c r="N18" s="8">
        <v>92</v>
      </c>
    </row>
    <row r="19" spans="1:14" ht="15.75" thickBot="1" x14ac:dyDescent="0.3">
      <c r="A19" s="17">
        <v>45425.368425925924</v>
      </c>
      <c r="B19" s="18" t="s">
        <v>7</v>
      </c>
      <c r="C19" s="18" t="s">
        <v>8</v>
      </c>
      <c r="D19" s="18">
        <v>497</v>
      </c>
      <c r="E19" s="18">
        <v>71</v>
      </c>
      <c r="I19" s="42"/>
      <c r="J19" s="5">
        <v>45425.368425925924</v>
      </c>
      <c r="K19" s="6" t="s">
        <v>7</v>
      </c>
      <c r="L19" s="6" t="s">
        <v>8</v>
      </c>
      <c r="M19" s="6">
        <v>497</v>
      </c>
      <c r="N19" s="6">
        <v>71</v>
      </c>
    </row>
    <row r="20" spans="1:14" ht="15.75" thickBot="1" x14ac:dyDescent="0.3">
      <c r="A20" s="17">
        <v>45434.894733796296</v>
      </c>
      <c r="B20" s="18" t="s">
        <v>7</v>
      </c>
      <c r="C20" s="18" t="s">
        <v>6</v>
      </c>
      <c r="D20" s="18">
        <v>409</v>
      </c>
      <c r="E20" s="18">
        <v>81</v>
      </c>
      <c r="I20" s="42"/>
      <c r="J20" s="7">
        <v>45434.894733796296</v>
      </c>
      <c r="K20" s="8" t="s">
        <v>7</v>
      </c>
      <c r="L20" s="8" t="s">
        <v>6</v>
      </c>
      <c r="M20" s="8">
        <v>409</v>
      </c>
      <c r="N20" s="8">
        <v>81</v>
      </c>
    </row>
    <row r="21" spans="1:14" ht="15.75" thickBot="1" x14ac:dyDescent="0.3">
      <c r="A21" s="17">
        <v>45444.421053240738</v>
      </c>
      <c r="B21" s="18" t="s">
        <v>5</v>
      </c>
      <c r="C21" s="18" t="s">
        <v>8</v>
      </c>
      <c r="D21" s="18">
        <v>53</v>
      </c>
      <c r="E21" s="18">
        <v>45</v>
      </c>
      <c r="I21" s="42"/>
      <c r="J21" s="5">
        <v>45444.421053240738</v>
      </c>
      <c r="K21" s="6" t="s">
        <v>5</v>
      </c>
      <c r="L21" s="6" t="s">
        <v>8</v>
      </c>
      <c r="M21" s="6">
        <v>53</v>
      </c>
      <c r="N21" s="6">
        <v>45</v>
      </c>
    </row>
    <row r="22" spans="1:14" ht="15.75" thickBot="1" x14ac:dyDescent="0.3">
      <c r="A22" s="17">
        <v>45453.947372685187</v>
      </c>
      <c r="B22" s="18" t="s">
        <v>5</v>
      </c>
      <c r="C22" s="18" t="s">
        <v>9</v>
      </c>
      <c r="D22" s="18">
        <v>398</v>
      </c>
      <c r="E22" s="18">
        <v>33</v>
      </c>
      <c r="I22" s="42"/>
      <c r="J22" s="7">
        <v>45453.947372685187</v>
      </c>
      <c r="K22" s="8" t="s">
        <v>5</v>
      </c>
      <c r="L22" s="8" t="s">
        <v>9</v>
      </c>
      <c r="M22" s="8">
        <v>398</v>
      </c>
      <c r="N22" s="8">
        <v>33</v>
      </c>
    </row>
    <row r="23" spans="1:14" ht="15.75" thickBot="1" x14ac:dyDescent="0.3">
      <c r="A23" s="17">
        <v>45463.473680555559</v>
      </c>
      <c r="B23" s="18" t="s">
        <v>11</v>
      </c>
      <c r="C23" s="18" t="s">
        <v>8</v>
      </c>
      <c r="D23" s="18">
        <v>347</v>
      </c>
      <c r="E23" s="18">
        <v>35</v>
      </c>
      <c r="I23" s="42"/>
      <c r="J23" s="5">
        <v>45463.473680555559</v>
      </c>
      <c r="K23" s="6" t="s">
        <v>11</v>
      </c>
      <c r="L23" s="6" t="s">
        <v>8</v>
      </c>
      <c r="M23" s="6">
        <v>347</v>
      </c>
      <c r="N23" s="6">
        <v>35</v>
      </c>
    </row>
    <row r="24" spans="1:14" ht="15.75" thickBot="1" x14ac:dyDescent="0.3">
      <c r="A24" s="19">
        <v>45473</v>
      </c>
      <c r="B24" s="20" t="s">
        <v>7</v>
      </c>
      <c r="C24" s="20" t="s">
        <v>9</v>
      </c>
      <c r="D24" s="20">
        <v>319</v>
      </c>
      <c r="E24" s="20">
        <v>45</v>
      </c>
      <c r="I24" s="42"/>
      <c r="J24" s="7">
        <v>45473</v>
      </c>
      <c r="K24" s="8" t="s">
        <v>7</v>
      </c>
      <c r="L24" s="8" t="s">
        <v>9</v>
      </c>
      <c r="M24" s="8">
        <v>319</v>
      </c>
      <c r="N24" s="8">
        <v>45</v>
      </c>
    </row>
  </sheetData>
  <autoFilter ref="I4:N24"/>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K14" sqref="K14"/>
    </sheetView>
  </sheetViews>
  <sheetFormatPr defaultRowHeight="15" x14ac:dyDescent="0.25"/>
  <cols>
    <col min="1" max="1" width="13.140625" customWidth="1"/>
    <col min="2" max="2" width="20.85546875" bestFit="1" customWidth="1"/>
  </cols>
  <sheetData>
    <row r="3" spans="1:2" x14ac:dyDescent="0.25">
      <c r="A3" s="25" t="s">
        <v>39</v>
      </c>
      <c r="B3" t="s">
        <v>74</v>
      </c>
    </row>
    <row r="4" spans="1:2" x14ac:dyDescent="0.25">
      <c r="A4" s="26" t="s">
        <v>9</v>
      </c>
      <c r="B4" s="27">
        <v>1805</v>
      </c>
    </row>
    <row r="5" spans="1:2" x14ac:dyDescent="0.25">
      <c r="A5" s="26" t="s">
        <v>6</v>
      </c>
      <c r="B5" s="27">
        <v>2521</v>
      </c>
    </row>
    <row r="6" spans="1:2" x14ac:dyDescent="0.25">
      <c r="A6" s="26" t="s">
        <v>8</v>
      </c>
      <c r="B6" s="27">
        <v>2503</v>
      </c>
    </row>
    <row r="7" spans="1:2" x14ac:dyDescent="0.25">
      <c r="A7" s="26" t="s">
        <v>40</v>
      </c>
      <c r="B7" s="27">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zoomScaleNormal="100" workbookViewId="0">
      <selection activeCell="J14" sqref="J14"/>
    </sheetView>
  </sheetViews>
  <sheetFormatPr defaultRowHeight="15" x14ac:dyDescent="0.25"/>
  <sheetData>
    <row r="1" spans="1:1" x14ac:dyDescent="0.25">
      <c r="A1" s="11" t="s">
        <v>75</v>
      </c>
    </row>
    <row r="2" spans="1:1" x14ac:dyDescent="0.25">
      <c r="A2" s="11" t="s">
        <v>76</v>
      </c>
    </row>
    <row r="3" spans="1:1" x14ac:dyDescent="0.25">
      <c r="A3" t="s">
        <v>77</v>
      </c>
    </row>
    <row r="4" spans="1:1" x14ac:dyDescent="0.25">
      <c r="A4" s="43"/>
    </row>
    <row r="5" spans="1:1" x14ac:dyDescent="0.25">
      <c r="A5" s="44" t="s">
        <v>78</v>
      </c>
    </row>
    <row r="6" spans="1:1" x14ac:dyDescent="0.25">
      <c r="A6" s="43"/>
    </row>
    <row r="7" spans="1:1" x14ac:dyDescent="0.25">
      <c r="A7" s="44" t="s">
        <v>79</v>
      </c>
    </row>
    <row r="8" spans="1:1" x14ac:dyDescent="0.25">
      <c r="A8" s="43"/>
    </row>
    <row r="9" spans="1:1" x14ac:dyDescent="0.25">
      <c r="A9" s="44" t="s">
        <v>80</v>
      </c>
    </row>
    <row r="10" spans="1:1" x14ac:dyDescent="0.25">
      <c r="A10" s="43"/>
    </row>
    <row r="11" spans="1:1" x14ac:dyDescent="0.25">
      <c r="A11" s="44" t="s">
        <v>81</v>
      </c>
    </row>
    <row r="12" spans="1:1" x14ac:dyDescent="0.25">
      <c r="A12" s="43"/>
    </row>
    <row r="13" spans="1:1" x14ac:dyDescent="0.25">
      <c r="A13" s="44" t="s">
        <v>82</v>
      </c>
    </row>
    <row r="14" spans="1:1" x14ac:dyDescent="0.25">
      <c r="A14" s="43"/>
    </row>
    <row r="15" spans="1:1" x14ac:dyDescent="0.25">
      <c r="A15" s="44" t="s">
        <v>83</v>
      </c>
    </row>
    <row r="16" spans="1:1" x14ac:dyDescent="0.25">
      <c r="A16" s="43"/>
    </row>
    <row r="17" spans="1:1" x14ac:dyDescent="0.25">
      <c r="A17" s="44" t="s">
        <v>84</v>
      </c>
    </row>
    <row r="18" spans="1:1" x14ac:dyDescent="0.25">
      <c r="A18" s="43"/>
    </row>
    <row r="19" spans="1:1" x14ac:dyDescent="0.25">
      <c r="A19" s="44" t="s">
        <v>85</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workbookViewId="0">
      <selection activeCell="G18" sqref="G18:H23"/>
    </sheetView>
  </sheetViews>
  <sheetFormatPr defaultRowHeight="15" x14ac:dyDescent="0.25"/>
  <cols>
    <col min="1" max="1" width="15.5703125" bestFit="1" customWidth="1"/>
    <col min="2" max="2" width="11.7109375" bestFit="1" customWidth="1"/>
    <col min="3" max="3" width="12.42578125" bestFit="1" customWidth="1"/>
    <col min="4" max="4" width="10.140625" bestFit="1" customWidth="1"/>
    <col min="5" max="5" width="13.28515625" bestFit="1" customWidth="1"/>
    <col min="7" max="7" width="41.28515625" bestFit="1" customWidth="1"/>
    <col min="8" max="8" width="12.140625" bestFit="1" customWidth="1"/>
  </cols>
  <sheetData>
    <row r="1" spans="1:7" x14ac:dyDescent="0.25">
      <c r="A1" s="11" t="s">
        <v>86</v>
      </c>
    </row>
    <row r="2" spans="1:7" x14ac:dyDescent="0.25">
      <c r="A2" s="11" t="s">
        <v>87</v>
      </c>
    </row>
    <row r="3" spans="1:7" x14ac:dyDescent="0.25">
      <c r="A3" s="11" t="s">
        <v>88</v>
      </c>
      <c r="B3" s="11"/>
      <c r="C3" s="11"/>
    </row>
    <row r="4" spans="1:7" x14ac:dyDescent="0.25">
      <c r="A4" s="11" t="s">
        <v>89</v>
      </c>
      <c r="B4" s="11"/>
      <c r="C4" s="11"/>
      <c r="G4" s="46" t="s">
        <v>92</v>
      </c>
    </row>
    <row r="5" spans="1:7" x14ac:dyDescent="0.25">
      <c r="A5" s="11" t="s">
        <v>90</v>
      </c>
      <c r="B5" s="11"/>
      <c r="C5" s="11"/>
    </row>
    <row r="6" spans="1:7" x14ac:dyDescent="0.25">
      <c r="G6" s="11" t="s">
        <v>93</v>
      </c>
    </row>
    <row r="7" spans="1:7" ht="15.75" thickBot="1" x14ac:dyDescent="0.3">
      <c r="A7" s="15" t="s">
        <v>0</v>
      </c>
      <c r="B7" s="16" t="s">
        <v>1</v>
      </c>
      <c r="C7" s="16" t="s">
        <v>2</v>
      </c>
      <c r="D7" s="16" t="s">
        <v>3</v>
      </c>
      <c r="E7" s="16" t="s">
        <v>4</v>
      </c>
      <c r="G7" s="35">
        <f>SUMIFS(Table178[Sales],Table178[Region],"East")</f>
        <v>467</v>
      </c>
    </row>
    <row r="8" spans="1:7" ht="15.75" thickBot="1" x14ac:dyDescent="0.3">
      <c r="A8" s="17">
        <v>45292</v>
      </c>
      <c r="B8" s="18" t="s">
        <v>5</v>
      </c>
      <c r="C8" s="18" t="s">
        <v>6</v>
      </c>
      <c r="D8" s="18">
        <v>456</v>
      </c>
      <c r="E8" s="18">
        <v>93</v>
      </c>
    </row>
    <row r="9" spans="1:7" ht="15.75" thickBot="1" x14ac:dyDescent="0.3">
      <c r="A9" s="17">
        <v>45301.526319444441</v>
      </c>
      <c r="B9" s="18" t="s">
        <v>7</v>
      </c>
      <c r="C9" s="18" t="s">
        <v>8</v>
      </c>
      <c r="D9" s="18">
        <v>348</v>
      </c>
      <c r="E9" s="18">
        <v>56</v>
      </c>
      <c r="G9" s="11" t="s">
        <v>94</v>
      </c>
    </row>
    <row r="10" spans="1:7" ht="15.75" thickBot="1" x14ac:dyDescent="0.3">
      <c r="A10" s="17">
        <v>45311.052627314813</v>
      </c>
      <c r="B10" s="18" t="s">
        <v>7</v>
      </c>
      <c r="C10" s="18" t="s">
        <v>6</v>
      </c>
      <c r="D10" s="18">
        <v>247</v>
      </c>
      <c r="E10" s="18">
        <v>76</v>
      </c>
      <c r="G10" s="35">
        <f>SUMIFS(Table178[Sales],Table178[Region],"West")</f>
        <v>3497</v>
      </c>
    </row>
    <row r="11" spans="1:7" ht="15.75" thickBot="1" x14ac:dyDescent="0.3">
      <c r="A11" s="17">
        <v>45320.578946759262</v>
      </c>
      <c r="B11" s="18" t="s">
        <v>5</v>
      </c>
      <c r="C11" s="18" t="s">
        <v>9</v>
      </c>
      <c r="D11" s="18">
        <v>230</v>
      </c>
      <c r="E11" s="18">
        <v>37</v>
      </c>
    </row>
    <row r="12" spans="1:7" ht="15.75" thickBot="1" x14ac:dyDescent="0.3">
      <c r="A12" s="17">
        <v>45330.105266203704</v>
      </c>
      <c r="B12" s="18" t="s">
        <v>5</v>
      </c>
      <c r="C12" s="18" t="s">
        <v>6</v>
      </c>
      <c r="D12" s="18">
        <v>281</v>
      </c>
      <c r="E12" s="18">
        <v>50</v>
      </c>
      <c r="G12" s="11" t="s">
        <v>95</v>
      </c>
    </row>
    <row r="13" spans="1:7" ht="15.75" thickBot="1" x14ac:dyDescent="0.3">
      <c r="A13" s="17">
        <v>45339.631574074076</v>
      </c>
      <c r="B13" s="18" t="s">
        <v>5</v>
      </c>
      <c r="C13" s="18" t="s">
        <v>8</v>
      </c>
      <c r="D13" s="18">
        <v>334</v>
      </c>
      <c r="E13" s="18">
        <v>52</v>
      </c>
      <c r="G13" s="35">
        <f>SUMIFS(Table178[Sales],Table178[Region],"South")</f>
        <v>2518</v>
      </c>
    </row>
    <row r="14" spans="1:7" ht="15.75" thickBot="1" x14ac:dyDescent="0.3">
      <c r="A14" s="17">
        <v>45349.157893518517</v>
      </c>
      <c r="B14" s="18" t="s">
        <v>7</v>
      </c>
      <c r="C14" s="18" t="s">
        <v>9</v>
      </c>
      <c r="D14" s="18">
        <v>417</v>
      </c>
      <c r="E14" s="18">
        <v>29</v>
      </c>
    </row>
    <row r="15" spans="1:7" ht="15.75" thickBot="1" x14ac:dyDescent="0.3">
      <c r="A15" s="17">
        <v>45358.684212962966</v>
      </c>
      <c r="B15" s="18" t="s">
        <v>5</v>
      </c>
      <c r="C15" s="18" t="s">
        <v>9</v>
      </c>
      <c r="D15" s="18">
        <v>441</v>
      </c>
      <c r="E15" s="18">
        <v>44</v>
      </c>
      <c r="G15" s="11" t="s">
        <v>96</v>
      </c>
    </row>
    <row r="16" spans="1:7" ht="15.75" thickBot="1" x14ac:dyDescent="0.3">
      <c r="A16" s="17">
        <v>45368.210520833331</v>
      </c>
      <c r="B16" s="18" t="s">
        <v>7</v>
      </c>
      <c r="C16" s="18" t="s">
        <v>6</v>
      </c>
      <c r="D16" s="18">
        <v>76</v>
      </c>
      <c r="E16" s="18">
        <v>63</v>
      </c>
      <c r="G16" s="35">
        <f>SUMIFS(Table178[Sales],Table178[Region],"North")</f>
        <v>347</v>
      </c>
    </row>
    <row r="17" spans="1:8" ht="15.75" thickBot="1" x14ac:dyDescent="0.3">
      <c r="A17" s="17">
        <v>45377.736840277779</v>
      </c>
      <c r="B17" s="18" t="s">
        <v>5</v>
      </c>
      <c r="C17" s="18" t="s">
        <v>8</v>
      </c>
      <c r="D17" s="18">
        <v>441</v>
      </c>
      <c r="E17" s="18">
        <v>79</v>
      </c>
    </row>
    <row r="18" spans="1:8" ht="15.75" thickBot="1" x14ac:dyDescent="0.3">
      <c r="A18" s="17">
        <v>45387.263159722221</v>
      </c>
      <c r="B18" s="18" t="s">
        <v>7</v>
      </c>
      <c r="C18" s="18" t="s">
        <v>6</v>
      </c>
      <c r="D18" s="18">
        <v>205</v>
      </c>
      <c r="E18" s="18">
        <v>23</v>
      </c>
      <c r="G18" s="25" t="s">
        <v>39</v>
      </c>
      <c r="H18" t="s">
        <v>41</v>
      </c>
    </row>
    <row r="19" spans="1:8" ht="15.75" thickBot="1" x14ac:dyDescent="0.3">
      <c r="A19" s="17">
        <v>45396.789479166669</v>
      </c>
      <c r="B19" s="18" t="s">
        <v>5</v>
      </c>
      <c r="C19" s="18" t="s">
        <v>8</v>
      </c>
      <c r="D19" s="18">
        <v>483</v>
      </c>
      <c r="E19" s="18">
        <v>97</v>
      </c>
      <c r="G19" s="26" t="s">
        <v>10</v>
      </c>
      <c r="H19" s="27">
        <v>467</v>
      </c>
    </row>
    <row r="20" spans="1:8" ht="15.75" thickBot="1" x14ac:dyDescent="0.3">
      <c r="A20" s="17">
        <v>45406.315787037034</v>
      </c>
      <c r="B20" s="18" t="s">
        <v>10</v>
      </c>
      <c r="C20" s="18" t="s">
        <v>6</v>
      </c>
      <c r="D20" s="18">
        <v>467</v>
      </c>
      <c r="E20" s="18">
        <v>97</v>
      </c>
      <c r="G20" s="26" t="s">
        <v>11</v>
      </c>
      <c r="H20" s="27">
        <v>347</v>
      </c>
    </row>
    <row r="21" spans="1:8" ht="15.75" thickBot="1" x14ac:dyDescent="0.3">
      <c r="A21" s="17">
        <v>45415.842106481483</v>
      </c>
      <c r="B21" s="18" t="s">
        <v>5</v>
      </c>
      <c r="C21" s="18" t="s">
        <v>6</v>
      </c>
      <c r="D21" s="18">
        <v>380</v>
      </c>
      <c r="E21" s="18">
        <v>92</v>
      </c>
      <c r="G21" s="26" t="s">
        <v>7</v>
      </c>
      <c r="H21" s="27">
        <v>2518</v>
      </c>
    </row>
    <row r="22" spans="1:8" ht="15.75" thickBot="1" x14ac:dyDescent="0.3">
      <c r="A22" s="17">
        <v>45425.368425925924</v>
      </c>
      <c r="B22" s="18" t="s">
        <v>7</v>
      </c>
      <c r="C22" s="18" t="s">
        <v>8</v>
      </c>
      <c r="D22" s="18">
        <v>497</v>
      </c>
      <c r="E22" s="18">
        <v>71</v>
      </c>
      <c r="G22" s="26" t="s">
        <v>5</v>
      </c>
      <c r="H22" s="27">
        <v>3497</v>
      </c>
    </row>
    <row r="23" spans="1:8" ht="15.75" thickBot="1" x14ac:dyDescent="0.3">
      <c r="A23" s="17">
        <v>45434.894733796296</v>
      </c>
      <c r="B23" s="18" t="s">
        <v>7</v>
      </c>
      <c r="C23" s="18" t="s">
        <v>6</v>
      </c>
      <c r="D23" s="18">
        <v>409</v>
      </c>
      <c r="E23" s="18">
        <v>81</v>
      </c>
      <c r="G23" s="26" t="s">
        <v>40</v>
      </c>
      <c r="H23" s="27">
        <v>6829</v>
      </c>
    </row>
    <row r="24" spans="1:8" ht="15.75" thickBot="1" x14ac:dyDescent="0.3">
      <c r="A24" s="17">
        <v>45444.421053240738</v>
      </c>
      <c r="B24" s="18" t="s">
        <v>5</v>
      </c>
      <c r="C24" s="18" t="s">
        <v>8</v>
      </c>
      <c r="D24" s="18">
        <v>53</v>
      </c>
      <c r="E24" s="18">
        <v>45</v>
      </c>
    </row>
    <row r="25" spans="1:8" ht="15.75" thickBot="1" x14ac:dyDescent="0.3">
      <c r="A25" s="17">
        <v>45453.947372685187</v>
      </c>
      <c r="B25" s="18" t="s">
        <v>5</v>
      </c>
      <c r="C25" s="18" t="s">
        <v>9</v>
      </c>
      <c r="D25" s="18">
        <v>398</v>
      </c>
      <c r="E25" s="18">
        <v>33</v>
      </c>
    </row>
    <row r="26" spans="1:8" ht="15.75" thickBot="1" x14ac:dyDescent="0.3">
      <c r="A26" s="17">
        <v>45463.473680555559</v>
      </c>
      <c r="B26" s="18" t="s">
        <v>11</v>
      </c>
      <c r="C26" s="18" t="s">
        <v>8</v>
      </c>
      <c r="D26" s="18">
        <v>347</v>
      </c>
      <c r="E26" s="18">
        <v>35</v>
      </c>
    </row>
    <row r="27" spans="1:8" x14ac:dyDescent="0.25">
      <c r="A27" s="19">
        <v>45473</v>
      </c>
      <c r="B27" s="20" t="s">
        <v>7</v>
      </c>
      <c r="C27" s="20" t="s">
        <v>9</v>
      </c>
      <c r="D27" s="20">
        <v>319</v>
      </c>
      <c r="E27" s="20">
        <v>45</v>
      </c>
    </row>
  </sheetData>
  <pageMargins left="0.7" right="0.7" top="0.75" bottom="0.75" header="0.3" footer="0.3"/>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3"/>
  <sheetViews>
    <sheetView topLeftCell="A3" workbookViewId="0">
      <selection activeCell="A3" sqref="A3:E23"/>
    </sheetView>
  </sheetViews>
  <sheetFormatPr defaultRowHeight="15" x14ac:dyDescent="0.25"/>
  <cols>
    <col min="1" max="1" width="15.5703125" bestFit="1" customWidth="1"/>
    <col min="2" max="2" width="10.5703125" customWidth="1"/>
    <col min="3" max="3" width="12.42578125" bestFit="1" customWidth="1"/>
    <col min="4" max="4" width="9.28515625" customWidth="1"/>
    <col min="5" max="5" width="13.28515625" bestFit="1" customWidth="1"/>
    <col min="7" max="7" width="13.140625" customWidth="1"/>
    <col min="8" max="8" width="12.140625" bestFit="1" customWidth="1"/>
  </cols>
  <sheetData>
    <row r="1" spans="1:8" x14ac:dyDescent="0.25">
      <c r="A1" s="11" t="s">
        <v>97</v>
      </c>
    </row>
    <row r="2" spans="1:8" x14ac:dyDescent="0.25">
      <c r="G2" s="46" t="s">
        <v>98</v>
      </c>
      <c r="H2" s="49"/>
    </row>
    <row r="3" spans="1:8" ht="15.75" thickBot="1" x14ac:dyDescent="0.3">
      <c r="A3" s="15" t="s">
        <v>0</v>
      </c>
      <c r="B3" s="16" t="s">
        <v>1</v>
      </c>
      <c r="C3" s="16" t="s">
        <v>2</v>
      </c>
      <c r="D3" s="16" t="s">
        <v>3</v>
      </c>
      <c r="E3" s="16" t="s">
        <v>4</v>
      </c>
    </row>
    <row r="4" spans="1:8" ht="15.75" thickBot="1" x14ac:dyDescent="0.3">
      <c r="A4" s="17">
        <v>45292</v>
      </c>
      <c r="B4" s="18" t="s">
        <v>5</v>
      </c>
      <c r="C4" s="18" t="s">
        <v>6</v>
      </c>
      <c r="D4" s="18">
        <v>456</v>
      </c>
      <c r="E4" s="18">
        <v>93</v>
      </c>
      <c r="G4" s="25" t="s">
        <v>39</v>
      </c>
      <c r="H4" t="s">
        <v>41</v>
      </c>
    </row>
    <row r="5" spans="1:8" ht="15.75" thickBot="1" x14ac:dyDescent="0.3">
      <c r="A5" s="17">
        <v>45301.526319444441</v>
      </c>
      <c r="B5" s="18" t="s">
        <v>7</v>
      </c>
      <c r="C5" s="18" t="s">
        <v>8</v>
      </c>
      <c r="D5" s="18">
        <v>348</v>
      </c>
      <c r="E5" s="18">
        <v>56</v>
      </c>
      <c r="G5" s="26" t="s">
        <v>7</v>
      </c>
      <c r="H5" s="27">
        <v>736</v>
      </c>
    </row>
    <row r="6" spans="1:8" ht="15.75" thickBot="1" x14ac:dyDescent="0.3">
      <c r="A6" s="17">
        <v>45311.052627314813</v>
      </c>
      <c r="B6" s="18" t="s">
        <v>7</v>
      </c>
      <c r="C6" s="18" t="s">
        <v>6</v>
      </c>
      <c r="D6" s="18">
        <v>247</v>
      </c>
      <c r="E6" s="18">
        <v>76</v>
      </c>
      <c r="G6" s="26" t="s">
        <v>5</v>
      </c>
      <c r="H6" s="27">
        <v>1069</v>
      </c>
    </row>
    <row r="7" spans="1:8" ht="15.75" thickBot="1" x14ac:dyDescent="0.3">
      <c r="A7" s="17">
        <v>45320.578946759262</v>
      </c>
      <c r="B7" s="18" t="s">
        <v>5</v>
      </c>
      <c r="C7" s="18" t="s">
        <v>9</v>
      </c>
      <c r="D7" s="18">
        <v>230</v>
      </c>
      <c r="E7" s="18">
        <v>37</v>
      </c>
      <c r="G7" s="26" t="s">
        <v>40</v>
      </c>
      <c r="H7" s="27">
        <v>1805</v>
      </c>
    </row>
    <row r="8" spans="1:8" ht="15.75" thickBot="1" x14ac:dyDescent="0.3">
      <c r="A8" s="17">
        <v>45330.105266203704</v>
      </c>
      <c r="B8" s="18" t="s">
        <v>5</v>
      </c>
      <c r="C8" s="18" t="s">
        <v>6</v>
      </c>
      <c r="D8" s="18">
        <v>281</v>
      </c>
      <c r="E8" s="18">
        <v>50</v>
      </c>
    </row>
    <row r="9" spans="1:8" ht="15.75" thickBot="1" x14ac:dyDescent="0.3">
      <c r="A9" s="17">
        <v>45339.631574074076</v>
      </c>
      <c r="B9" s="18" t="s">
        <v>5</v>
      </c>
      <c r="C9" s="18" t="s">
        <v>8</v>
      </c>
      <c r="D9" s="18">
        <v>334</v>
      </c>
      <c r="E9" s="18">
        <v>52</v>
      </c>
    </row>
    <row r="10" spans="1:8" ht="15.75" thickBot="1" x14ac:dyDescent="0.3">
      <c r="A10" s="17">
        <v>45349.157893518517</v>
      </c>
      <c r="B10" s="18" t="s">
        <v>7</v>
      </c>
      <c r="C10" s="18" t="s">
        <v>9</v>
      </c>
      <c r="D10" s="18">
        <v>417</v>
      </c>
      <c r="E10" s="18">
        <v>29</v>
      </c>
    </row>
    <row r="11" spans="1:8" ht="15.75" thickBot="1" x14ac:dyDescent="0.3">
      <c r="A11" s="17">
        <v>45358.684212962966</v>
      </c>
      <c r="B11" s="18" t="s">
        <v>5</v>
      </c>
      <c r="C11" s="18" t="s">
        <v>9</v>
      </c>
      <c r="D11" s="18">
        <v>441</v>
      </c>
      <c r="E11" s="18">
        <v>44</v>
      </c>
    </row>
    <row r="12" spans="1:8" ht="15.75" thickBot="1" x14ac:dyDescent="0.3">
      <c r="A12" s="17">
        <v>45368.210520833331</v>
      </c>
      <c r="B12" s="18" t="s">
        <v>7</v>
      </c>
      <c r="C12" s="18" t="s">
        <v>6</v>
      </c>
      <c r="D12" s="18">
        <v>76</v>
      </c>
      <c r="E12" s="18">
        <v>63</v>
      </c>
    </row>
    <row r="13" spans="1:8" ht="15.75" thickBot="1" x14ac:dyDescent="0.3">
      <c r="A13" s="17">
        <v>45377.736840277779</v>
      </c>
      <c r="B13" s="18" t="s">
        <v>5</v>
      </c>
      <c r="C13" s="18" t="s">
        <v>8</v>
      </c>
      <c r="D13" s="18">
        <v>441</v>
      </c>
      <c r="E13" s="18">
        <v>79</v>
      </c>
    </row>
    <row r="14" spans="1:8" ht="15.75" thickBot="1" x14ac:dyDescent="0.3">
      <c r="A14" s="17">
        <v>45387.263159722221</v>
      </c>
      <c r="B14" s="18" t="s">
        <v>7</v>
      </c>
      <c r="C14" s="18" t="s">
        <v>6</v>
      </c>
      <c r="D14" s="18">
        <v>205</v>
      </c>
      <c r="E14" s="18">
        <v>23</v>
      </c>
    </row>
    <row r="15" spans="1:8" ht="15.75" thickBot="1" x14ac:dyDescent="0.3">
      <c r="A15" s="17">
        <v>45396.789479166669</v>
      </c>
      <c r="B15" s="18" t="s">
        <v>5</v>
      </c>
      <c r="C15" s="18" t="s">
        <v>8</v>
      </c>
      <c r="D15" s="18">
        <v>483</v>
      </c>
      <c r="E15" s="18">
        <v>97</v>
      </c>
    </row>
    <row r="16" spans="1:8" ht="15.75" thickBot="1" x14ac:dyDescent="0.3">
      <c r="A16" s="17">
        <v>45406.315787037034</v>
      </c>
      <c r="B16" s="18" t="s">
        <v>10</v>
      </c>
      <c r="C16" s="18" t="s">
        <v>6</v>
      </c>
      <c r="D16" s="18">
        <v>467</v>
      </c>
      <c r="E16" s="18">
        <v>97</v>
      </c>
    </row>
    <row r="17" spans="1:5" ht="15.75" thickBot="1" x14ac:dyDescent="0.3">
      <c r="A17" s="17">
        <v>45415.842106481483</v>
      </c>
      <c r="B17" s="18" t="s">
        <v>5</v>
      </c>
      <c r="C17" s="18" t="s">
        <v>6</v>
      </c>
      <c r="D17" s="18">
        <v>380</v>
      </c>
      <c r="E17" s="18">
        <v>92</v>
      </c>
    </row>
    <row r="18" spans="1:5" ht="15.75" thickBot="1" x14ac:dyDescent="0.3">
      <c r="A18" s="17">
        <v>45425.368425925924</v>
      </c>
      <c r="B18" s="18" t="s">
        <v>7</v>
      </c>
      <c r="C18" s="18" t="s">
        <v>8</v>
      </c>
      <c r="D18" s="18">
        <v>497</v>
      </c>
      <c r="E18" s="18">
        <v>71</v>
      </c>
    </row>
    <row r="19" spans="1:5" ht="15.75" thickBot="1" x14ac:dyDescent="0.3">
      <c r="A19" s="17">
        <v>45434.894733796296</v>
      </c>
      <c r="B19" s="18" t="s">
        <v>7</v>
      </c>
      <c r="C19" s="18" t="s">
        <v>6</v>
      </c>
      <c r="D19" s="18">
        <v>409</v>
      </c>
      <c r="E19" s="18">
        <v>81</v>
      </c>
    </row>
    <row r="20" spans="1:5" ht="15.75" thickBot="1" x14ac:dyDescent="0.3">
      <c r="A20" s="17">
        <v>45444.421053240738</v>
      </c>
      <c r="B20" s="18" t="s">
        <v>5</v>
      </c>
      <c r="C20" s="18" t="s">
        <v>8</v>
      </c>
      <c r="D20" s="18">
        <v>53</v>
      </c>
      <c r="E20" s="18">
        <v>45</v>
      </c>
    </row>
    <row r="21" spans="1:5" ht="15.75" thickBot="1" x14ac:dyDescent="0.3">
      <c r="A21" s="17">
        <v>45453.947372685187</v>
      </c>
      <c r="B21" s="18" t="s">
        <v>5</v>
      </c>
      <c r="C21" s="18" t="s">
        <v>9</v>
      </c>
      <c r="D21" s="18">
        <v>398</v>
      </c>
      <c r="E21" s="18">
        <v>33</v>
      </c>
    </row>
    <row r="22" spans="1:5" ht="15.75" thickBot="1" x14ac:dyDescent="0.3">
      <c r="A22" s="17">
        <v>45463.473680555559</v>
      </c>
      <c r="B22" s="18" t="s">
        <v>11</v>
      </c>
      <c r="C22" s="18" t="s">
        <v>8</v>
      </c>
      <c r="D22" s="18">
        <v>347</v>
      </c>
      <c r="E22" s="18">
        <v>35</v>
      </c>
    </row>
    <row r="23" spans="1:5" x14ac:dyDescent="0.25">
      <c r="A23" s="19">
        <v>45473</v>
      </c>
      <c r="B23" s="20" t="s">
        <v>7</v>
      </c>
      <c r="C23" s="20" t="s">
        <v>9</v>
      </c>
      <c r="D23" s="20">
        <v>319</v>
      </c>
      <c r="E23" s="20">
        <v>45</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topLeftCell="A3" workbookViewId="0">
      <selection activeCell="H6" sqref="H6:I13"/>
    </sheetView>
  </sheetViews>
  <sheetFormatPr defaultRowHeight="15" x14ac:dyDescent="0.25"/>
  <cols>
    <col min="1" max="1" width="15.5703125" bestFit="1" customWidth="1"/>
    <col min="2" max="2" width="9.7109375" customWidth="1"/>
    <col min="3" max="3" width="12.42578125" bestFit="1" customWidth="1"/>
    <col min="4" max="4" width="10.140625" bestFit="1" customWidth="1"/>
    <col min="5" max="5" width="13.28515625" bestFit="1" customWidth="1"/>
    <col min="7" max="7" width="31" bestFit="1" customWidth="1"/>
    <col min="8" max="8" width="13.140625" customWidth="1"/>
    <col min="9" max="9" width="12.140625" bestFit="1" customWidth="1"/>
  </cols>
  <sheetData>
    <row r="1" spans="1:9" x14ac:dyDescent="0.25">
      <c r="A1" s="11" t="s">
        <v>99</v>
      </c>
    </row>
    <row r="2" spans="1:9" x14ac:dyDescent="0.25">
      <c r="G2" s="46" t="s">
        <v>100</v>
      </c>
    </row>
    <row r="3" spans="1:9" ht="15.75" thickBot="1" x14ac:dyDescent="0.3">
      <c r="A3" s="15" t="s">
        <v>0</v>
      </c>
      <c r="B3" s="16" t="s">
        <v>1</v>
      </c>
      <c r="C3" s="16" t="s">
        <v>2</v>
      </c>
      <c r="D3" s="16" t="s">
        <v>3</v>
      </c>
      <c r="E3" s="16" t="s">
        <v>4</v>
      </c>
    </row>
    <row r="4" spans="1:9" ht="15.75" thickBot="1" x14ac:dyDescent="0.3">
      <c r="A4" s="17">
        <v>45292</v>
      </c>
      <c r="B4" s="18" t="s">
        <v>5</v>
      </c>
      <c r="C4" s="18" t="s">
        <v>6</v>
      </c>
      <c r="D4" s="18">
        <v>456</v>
      </c>
      <c r="E4" s="18">
        <v>93</v>
      </c>
    </row>
    <row r="5" spans="1:9" ht="15.75" thickBot="1" x14ac:dyDescent="0.3">
      <c r="A5" s="17">
        <v>45301.526319444441</v>
      </c>
      <c r="B5" s="18" t="s">
        <v>7</v>
      </c>
      <c r="C5" s="18" t="s">
        <v>8</v>
      </c>
      <c r="D5" s="18">
        <v>348</v>
      </c>
      <c r="E5" s="18">
        <v>56</v>
      </c>
    </row>
    <row r="6" spans="1:9" ht="15.75" thickBot="1" x14ac:dyDescent="0.3">
      <c r="A6" s="17">
        <v>45311.052627314813</v>
      </c>
      <c r="B6" s="18" t="s">
        <v>7</v>
      </c>
      <c r="C6" s="18" t="s">
        <v>6</v>
      </c>
      <c r="D6" s="18">
        <v>247</v>
      </c>
      <c r="E6" s="18">
        <v>76</v>
      </c>
      <c r="H6" s="25" t="s">
        <v>39</v>
      </c>
      <c r="I6" t="s">
        <v>41</v>
      </c>
    </row>
    <row r="7" spans="1:9" ht="15.75" thickBot="1" x14ac:dyDescent="0.3">
      <c r="A7" s="17">
        <v>45320.578946759262</v>
      </c>
      <c r="B7" s="18" t="s">
        <v>5</v>
      </c>
      <c r="C7" s="18" t="s">
        <v>9</v>
      </c>
      <c r="D7" s="18">
        <v>230</v>
      </c>
      <c r="E7" s="18">
        <v>37</v>
      </c>
      <c r="H7" s="39" t="s">
        <v>66</v>
      </c>
      <c r="I7" s="27">
        <v>1281</v>
      </c>
    </row>
    <row r="8" spans="1:9" ht="15.75" thickBot="1" x14ac:dyDescent="0.3">
      <c r="A8" s="17">
        <v>45330.105266203704</v>
      </c>
      <c r="B8" s="18" t="s">
        <v>5</v>
      </c>
      <c r="C8" s="18" t="s">
        <v>6</v>
      </c>
      <c r="D8" s="18">
        <v>281</v>
      </c>
      <c r="E8" s="18">
        <v>50</v>
      </c>
      <c r="H8" s="39" t="s">
        <v>67</v>
      </c>
      <c r="I8" s="27">
        <v>1032</v>
      </c>
    </row>
    <row r="9" spans="1:9" ht="15.75" thickBot="1" x14ac:dyDescent="0.3">
      <c r="A9" s="17">
        <v>45339.631574074076</v>
      </c>
      <c r="B9" s="18" t="s">
        <v>5</v>
      </c>
      <c r="C9" s="18" t="s">
        <v>8</v>
      </c>
      <c r="D9" s="18">
        <v>334</v>
      </c>
      <c r="E9" s="18">
        <v>52</v>
      </c>
      <c r="H9" s="39" t="s">
        <v>68</v>
      </c>
      <c r="I9" s="27">
        <v>958</v>
      </c>
    </row>
    <row r="10" spans="1:9" ht="15.75" thickBot="1" x14ac:dyDescent="0.3">
      <c r="A10" s="17">
        <v>45349.157893518517</v>
      </c>
      <c r="B10" s="18" t="s">
        <v>7</v>
      </c>
      <c r="C10" s="18" t="s">
        <v>9</v>
      </c>
      <c r="D10" s="18">
        <v>417</v>
      </c>
      <c r="E10" s="18">
        <v>29</v>
      </c>
      <c r="H10" s="39" t="s">
        <v>69</v>
      </c>
      <c r="I10" s="27">
        <v>1155</v>
      </c>
    </row>
    <row r="11" spans="1:9" ht="15.75" thickBot="1" x14ac:dyDescent="0.3">
      <c r="A11" s="17">
        <v>45358.684212962966</v>
      </c>
      <c r="B11" s="18" t="s">
        <v>5</v>
      </c>
      <c r="C11" s="18" t="s">
        <v>9</v>
      </c>
      <c r="D11" s="18">
        <v>441</v>
      </c>
      <c r="E11" s="18">
        <v>44</v>
      </c>
      <c r="H11" s="39" t="s">
        <v>70</v>
      </c>
      <c r="I11" s="27">
        <v>1286</v>
      </c>
    </row>
    <row r="12" spans="1:9" ht="15.75" thickBot="1" x14ac:dyDescent="0.3">
      <c r="A12" s="17">
        <v>45368.210520833331</v>
      </c>
      <c r="B12" s="18" t="s">
        <v>7</v>
      </c>
      <c r="C12" s="18" t="s">
        <v>6</v>
      </c>
      <c r="D12" s="18">
        <v>76</v>
      </c>
      <c r="E12" s="18">
        <v>63</v>
      </c>
      <c r="H12" s="39" t="s">
        <v>71</v>
      </c>
      <c r="I12" s="27">
        <v>1117</v>
      </c>
    </row>
    <row r="13" spans="1:9" ht="15.75" thickBot="1" x14ac:dyDescent="0.3">
      <c r="A13" s="17">
        <v>45377.736840277779</v>
      </c>
      <c r="B13" s="18" t="s">
        <v>5</v>
      </c>
      <c r="C13" s="18" t="s">
        <v>8</v>
      </c>
      <c r="D13" s="18">
        <v>441</v>
      </c>
      <c r="E13" s="18">
        <v>79</v>
      </c>
      <c r="H13" s="39" t="s">
        <v>40</v>
      </c>
      <c r="I13" s="27">
        <v>6829</v>
      </c>
    </row>
    <row r="14" spans="1:9" ht="15.75" thickBot="1" x14ac:dyDescent="0.3">
      <c r="A14" s="17">
        <v>45387.263159722221</v>
      </c>
      <c r="B14" s="18" t="s">
        <v>7</v>
      </c>
      <c r="C14" s="18" t="s">
        <v>6</v>
      </c>
      <c r="D14" s="18">
        <v>205</v>
      </c>
      <c r="E14" s="18">
        <v>23</v>
      </c>
    </row>
    <row r="15" spans="1:9" ht="15.75" thickBot="1" x14ac:dyDescent="0.3">
      <c r="A15" s="17">
        <v>45396.789479166669</v>
      </c>
      <c r="B15" s="18" t="s">
        <v>5</v>
      </c>
      <c r="C15" s="18" t="s">
        <v>8</v>
      </c>
      <c r="D15" s="18">
        <v>483</v>
      </c>
      <c r="E15" s="18">
        <v>97</v>
      </c>
    </row>
    <row r="16" spans="1:9" ht="15.75" thickBot="1" x14ac:dyDescent="0.3">
      <c r="A16" s="17">
        <v>45406.315787037034</v>
      </c>
      <c r="B16" s="18" t="s">
        <v>10</v>
      </c>
      <c r="C16" s="18" t="s">
        <v>6</v>
      </c>
      <c r="D16" s="18">
        <v>467</v>
      </c>
      <c r="E16" s="18">
        <v>97</v>
      </c>
    </row>
    <row r="17" spans="1:5" ht="15.75" thickBot="1" x14ac:dyDescent="0.3">
      <c r="A17" s="17">
        <v>45415.842106481483</v>
      </c>
      <c r="B17" s="18" t="s">
        <v>5</v>
      </c>
      <c r="C17" s="18" t="s">
        <v>6</v>
      </c>
      <c r="D17" s="18">
        <v>380</v>
      </c>
      <c r="E17" s="18">
        <v>92</v>
      </c>
    </row>
    <row r="18" spans="1:5" ht="15.75" thickBot="1" x14ac:dyDescent="0.3">
      <c r="A18" s="17">
        <v>45425.368425925924</v>
      </c>
      <c r="B18" s="18" t="s">
        <v>7</v>
      </c>
      <c r="C18" s="18" t="s">
        <v>8</v>
      </c>
      <c r="D18" s="18">
        <v>497</v>
      </c>
      <c r="E18" s="18">
        <v>71</v>
      </c>
    </row>
    <row r="19" spans="1:5" ht="15.75" thickBot="1" x14ac:dyDescent="0.3">
      <c r="A19" s="17">
        <v>45434.894733796296</v>
      </c>
      <c r="B19" s="18" t="s">
        <v>7</v>
      </c>
      <c r="C19" s="18" t="s">
        <v>6</v>
      </c>
      <c r="D19" s="18">
        <v>409</v>
      </c>
      <c r="E19" s="18">
        <v>81</v>
      </c>
    </row>
    <row r="20" spans="1:5" ht="15.75" thickBot="1" x14ac:dyDescent="0.3">
      <c r="A20" s="17">
        <v>45444.421053240738</v>
      </c>
      <c r="B20" s="18" t="s">
        <v>5</v>
      </c>
      <c r="C20" s="18" t="s">
        <v>8</v>
      </c>
      <c r="D20" s="18">
        <v>53</v>
      </c>
      <c r="E20" s="18">
        <v>45</v>
      </c>
    </row>
    <row r="21" spans="1:5" ht="15.75" thickBot="1" x14ac:dyDescent="0.3">
      <c r="A21" s="17">
        <v>45453.947372685187</v>
      </c>
      <c r="B21" s="18" t="s">
        <v>5</v>
      </c>
      <c r="C21" s="18" t="s">
        <v>9</v>
      </c>
      <c r="D21" s="18">
        <v>398</v>
      </c>
      <c r="E21" s="18">
        <v>33</v>
      </c>
    </row>
    <row r="22" spans="1:5" ht="15.75" thickBot="1" x14ac:dyDescent="0.3">
      <c r="A22" s="17">
        <v>45463.473680555559</v>
      </c>
      <c r="B22" s="18" t="s">
        <v>11</v>
      </c>
      <c r="C22" s="18" t="s">
        <v>8</v>
      </c>
      <c r="D22" s="18">
        <v>347</v>
      </c>
      <c r="E22" s="18">
        <v>35</v>
      </c>
    </row>
    <row r="23" spans="1:5" x14ac:dyDescent="0.25">
      <c r="A23" s="19">
        <v>45473</v>
      </c>
      <c r="B23" s="20" t="s">
        <v>7</v>
      </c>
      <c r="C23" s="20" t="s">
        <v>9</v>
      </c>
      <c r="D23" s="20">
        <v>319</v>
      </c>
      <c r="E23" s="20">
        <v>45</v>
      </c>
    </row>
  </sheetData>
  <pageMargins left="0.7" right="0.7" top="0.75" bottom="0.75" header="0.3" footer="0.3"/>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4"/>
  <sheetViews>
    <sheetView workbookViewId="0">
      <selection activeCell="I6" sqref="I6"/>
    </sheetView>
  </sheetViews>
  <sheetFormatPr defaultRowHeight="15" x14ac:dyDescent="0.25"/>
  <cols>
    <col min="1" max="1" width="15.5703125" bestFit="1" customWidth="1"/>
    <col min="2" max="2" width="11.7109375" bestFit="1" customWidth="1"/>
    <col min="3" max="3" width="12.42578125" bestFit="1" customWidth="1"/>
    <col min="4" max="4" width="10.140625" bestFit="1" customWidth="1"/>
    <col min="5" max="5" width="13.28515625" bestFit="1" customWidth="1"/>
    <col min="7" max="7" width="13.140625" bestFit="1" customWidth="1"/>
    <col min="8" max="9" width="15.7109375" bestFit="1" customWidth="1"/>
  </cols>
  <sheetData>
    <row r="1" spans="1:14" x14ac:dyDescent="0.25">
      <c r="A1" s="45" t="s">
        <v>91</v>
      </c>
    </row>
    <row r="2" spans="1:14" x14ac:dyDescent="0.25">
      <c r="A2" s="11" t="s">
        <v>101</v>
      </c>
    </row>
    <row r="4" spans="1:14" ht="15.75" thickBot="1" x14ac:dyDescent="0.3">
      <c r="A4" s="15" t="s">
        <v>0</v>
      </c>
      <c r="B4" s="16" t="s">
        <v>1</v>
      </c>
      <c r="C4" s="16" t="s">
        <v>2</v>
      </c>
      <c r="D4" s="16" t="s">
        <v>3</v>
      </c>
      <c r="E4" s="16" t="s">
        <v>4</v>
      </c>
      <c r="G4" s="25" t="s">
        <v>39</v>
      </c>
      <c r="H4" t="s">
        <v>104</v>
      </c>
    </row>
    <row r="5" spans="1:14" ht="15.75" thickBot="1" x14ac:dyDescent="0.3">
      <c r="A5" s="17">
        <v>45292</v>
      </c>
      <c r="B5" s="18" t="s">
        <v>5</v>
      </c>
      <c r="C5" s="18" t="s">
        <v>6</v>
      </c>
      <c r="D5" s="18">
        <v>456</v>
      </c>
      <c r="E5" s="18">
        <v>93</v>
      </c>
      <c r="G5" s="39" t="s">
        <v>66</v>
      </c>
      <c r="H5" s="27">
        <v>320.25</v>
      </c>
    </row>
    <row r="6" spans="1:14" ht="15.75" thickBot="1" x14ac:dyDescent="0.3">
      <c r="A6" s="17">
        <v>45301.526319444441</v>
      </c>
      <c r="B6" s="18" t="s">
        <v>7</v>
      </c>
      <c r="C6" s="18" t="s">
        <v>8</v>
      </c>
      <c r="D6" s="18">
        <v>348</v>
      </c>
      <c r="E6" s="18">
        <v>56</v>
      </c>
      <c r="G6" s="39" t="s">
        <v>67</v>
      </c>
      <c r="H6" s="27">
        <v>344</v>
      </c>
    </row>
    <row r="7" spans="1:14" ht="15.75" thickBot="1" x14ac:dyDescent="0.3">
      <c r="A7" s="17">
        <v>45311.052627314813</v>
      </c>
      <c r="B7" s="18" t="s">
        <v>7</v>
      </c>
      <c r="C7" s="18" t="s">
        <v>6</v>
      </c>
      <c r="D7" s="18">
        <v>247</v>
      </c>
      <c r="E7" s="18">
        <v>76</v>
      </c>
      <c r="G7" s="39" t="s">
        <v>68</v>
      </c>
      <c r="H7" s="27">
        <v>319.33333333333331</v>
      </c>
    </row>
    <row r="8" spans="1:14" ht="15.75" thickBot="1" x14ac:dyDescent="0.3">
      <c r="A8" s="17">
        <v>45320.578946759262</v>
      </c>
      <c r="B8" s="18" t="s">
        <v>5</v>
      </c>
      <c r="C8" s="18" t="s">
        <v>9</v>
      </c>
      <c r="D8" s="18">
        <v>230</v>
      </c>
      <c r="E8" s="18">
        <v>37</v>
      </c>
      <c r="G8" s="39" t="s">
        <v>69</v>
      </c>
      <c r="H8" s="27">
        <v>385</v>
      </c>
    </row>
    <row r="9" spans="1:14" ht="15.75" thickBot="1" x14ac:dyDescent="0.3">
      <c r="A9" s="17">
        <v>45330.105266203704</v>
      </c>
      <c r="B9" s="18" t="s">
        <v>5</v>
      </c>
      <c r="C9" s="18" t="s">
        <v>6</v>
      </c>
      <c r="D9" s="18">
        <v>281</v>
      </c>
      <c r="E9" s="18">
        <v>50</v>
      </c>
      <c r="G9" s="39" t="s">
        <v>70</v>
      </c>
      <c r="H9" s="27">
        <v>428.66666666666669</v>
      </c>
    </row>
    <row r="10" spans="1:14" ht="15.75" thickBot="1" x14ac:dyDescent="0.3">
      <c r="A10" s="17">
        <v>45339.631574074076</v>
      </c>
      <c r="B10" s="18" t="s">
        <v>5</v>
      </c>
      <c r="C10" s="18" t="s">
        <v>8</v>
      </c>
      <c r="D10" s="18">
        <v>334</v>
      </c>
      <c r="E10" s="18">
        <v>52</v>
      </c>
      <c r="G10" s="39" t="s">
        <v>71</v>
      </c>
      <c r="H10" s="27">
        <v>279.25</v>
      </c>
    </row>
    <row r="11" spans="1:14" ht="15.75" thickBot="1" x14ac:dyDescent="0.3">
      <c r="A11" s="17">
        <v>45349.157893518517</v>
      </c>
      <c r="B11" s="18" t="s">
        <v>7</v>
      </c>
      <c r="C11" s="18" t="s">
        <v>9</v>
      </c>
      <c r="D11" s="18">
        <v>417</v>
      </c>
      <c r="E11" s="18">
        <v>29</v>
      </c>
      <c r="G11" s="39" t="s">
        <v>40</v>
      </c>
      <c r="H11" s="27">
        <v>341.45</v>
      </c>
      <c r="N11" s="47"/>
    </row>
    <row r="12" spans="1:14" ht="15.75" thickBot="1" x14ac:dyDescent="0.3">
      <c r="A12" s="17">
        <v>45358.684212962966</v>
      </c>
      <c r="B12" s="18" t="s">
        <v>5</v>
      </c>
      <c r="C12" s="18" t="s">
        <v>9</v>
      </c>
      <c r="D12" s="18">
        <v>441</v>
      </c>
      <c r="E12" s="18">
        <v>44</v>
      </c>
      <c r="N12" s="27"/>
    </row>
    <row r="13" spans="1:14" ht="15.75" thickBot="1" x14ac:dyDescent="0.3">
      <c r="A13" s="17">
        <v>45368.210520833331</v>
      </c>
      <c r="B13" s="18" t="s">
        <v>7</v>
      </c>
      <c r="C13" s="18" t="s">
        <v>6</v>
      </c>
      <c r="D13" s="18">
        <v>76</v>
      </c>
      <c r="E13" s="18">
        <v>63</v>
      </c>
      <c r="G13" s="25" t="s">
        <v>39</v>
      </c>
      <c r="H13" t="s">
        <v>41</v>
      </c>
      <c r="I13" s="50" t="s">
        <v>104</v>
      </c>
      <c r="N13" s="27"/>
    </row>
    <row r="14" spans="1:14" ht="15.75" thickBot="1" x14ac:dyDescent="0.3">
      <c r="A14" s="17">
        <v>45377.736840277779</v>
      </c>
      <c r="B14" s="18" t="s">
        <v>5</v>
      </c>
      <c r="C14" s="18" t="s">
        <v>8</v>
      </c>
      <c r="D14" s="18">
        <v>441</v>
      </c>
      <c r="E14" s="18">
        <v>79</v>
      </c>
      <c r="G14" s="39" t="s">
        <v>66</v>
      </c>
      <c r="H14" s="27">
        <v>1281</v>
      </c>
      <c r="I14" s="29">
        <v>320.25</v>
      </c>
      <c r="N14" s="27"/>
    </row>
    <row r="15" spans="1:14" ht="15.75" thickBot="1" x14ac:dyDescent="0.3">
      <c r="A15" s="17">
        <v>45387.263159722221</v>
      </c>
      <c r="B15" s="18" t="s">
        <v>7</v>
      </c>
      <c r="C15" s="18" t="s">
        <v>6</v>
      </c>
      <c r="D15" s="18">
        <v>205</v>
      </c>
      <c r="E15" s="18">
        <v>23</v>
      </c>
      <c r="G15" s="39" t="s">
        <v>67</v>
      </c>
      <c r="H15" s="27">
        <v>1032</v>
      </c>
      <c r="I15" s="29">
        <v>344</v>
      </c>
      <c r="N15" s="27"/>
    </row>
    <row r="16" spans="1:14" ht="15.75" thickBot="1" x14ac:dyDescent="0.3">
      <c r="A16" s="17">
        <v>45396.789479166669</v>
      </c>
      <c r="B16" s="18" t="s">
        <v>5</v>
      </c>
      <c r="C16" s="18" t="s">
        <v>8</v>
      </c>
      <c r="D16" s="18">
        <v>483</v>
      </c>
      <c r="E16" s="18">
        <v>97</v>
      </c>
      <c r="G16" s="39" t="s">
        <v>68</v>
      </c>
      <c r="H16" s="27">
        <v>958</v>
      </c>
      <c r="I16" s="29">
        <v>319.33333333333331</v>
      </c>
      <c r="N16" s="27"/>
    </row>
    <row r="17" spans="1:14" ht="15.75" thickBot="1" x14ac:dyDescent="0.3">
      <c r="A17" s="17">
        <v>45406.315787037034</v>
      </c>
      <c r="B17" s="18" t="s">
        <v>10</v>
      </c>
      <c r="C17" s="18" t="s">
        <v>6</v>
      </c>
      <c r="D17" s="18">
        <v>467</v>
      </c>
      <c r="E17" s="18">
        <v>97</v>
      </c>
      <c r="G17" s="39" t="s">
        <v>69</v>
      </c>
      <c r="H17" s="27">
        <v>1155</v>
      </c>
      <c r="I17" s="29">
        <v>385</v>
      </c>
      <c r="N17" s="27"/>
    </row>
    <row r="18" spans="1:14" ht="15.75" thickBot="1" x14ac:dyDescent="0.3">
      <c r="A18" s="17">
        <v>45415.842106481483</v>
      </c>
      <c r="B18" s="18" t="s">
        <v>5</v>
      </c>
      <c r="C18" s="18" t="s">
        <v>6</v>
      </c>
      <c r="D18" s="18">
        <v>380</v>
      </c>
      <c r="E18" s="18">
        <v>92</v>
      </c>
      <c r="G18" s="39" t="s">
        <v>70</v>
      </c>
      <c r="H18" s="27">
        <v>1286</v>
      </c>
      <c r="I18" s="29">
        <v>428.66666666666669</v>
      </c>
      <c r="N18" s="48"/>
    </row>
    <row r="19" spans="1:14" ht="15.75" thickBot="1" x14ac:dyDescent="0.3">
      <c r="A19" s="17">
        <v>45425.368425925924</v>
      </c>
      <c r="B19" s="18" t="s">
        <v>7</v>
      </c>
      <c r="C19" s="18" t="s">
        <v>8</v>
      </c>
      <c r="D19" s="18">
        <v>497</v>
      </c>
      <c r="E19" s="18">
        <v>71</v>
      </c>
      <c r="G19" s="39" t="s">
        <v>71</v>
      </c>
      <c r="H19" s="27">
        <v>1117</v>
      </c>
      <c r="I19" s="29">
        <v>279.25</v>
      </c>
    </row>
    <row r="20" spans="1:14" ht="15.75" thickBot="1" x14ac:dyDescent="0.3">
      <c r="A20" s="17">
        <v>45434.894733796296</v>
      </c>
      <c r="B20" s="18" t="s">
        <v>7</v>
      </c>
      <c r="C20" s="18" t="s">
        <v>6</v>
      </c>
      <c r="D20" s="18">
        <v>409</v>
      </c>
      <c r="E20" s="18">
        <v>81</v>
      </c>
      <c r="G20" s="39" t="s">
        <v>40</v>
      </c>
      <c r="H20" s="27">
        <v>6829</v>
      </c>
      <c r="I20" s="51">
        <v>341.45</v>
      </c>
    </row>
    <row r="21" spans="1:14" ht="15.75" thickBot="1" x14ac:dyDescent="0.3">
      <c r="A21" s="17">
        <v>45444.421053240738</v>
      </c>
      <c r="B21" s="18" t="s">
        <v>5</v>
      </c>
      <c r="C21" s="18" t="s">
        <v>8</v>
      </c>
      <c r="D21" s="18">
        <v>53</v>
      </c>
      <c r="E21" s="18">
        <v>45</v>
      </c>
    </row>
    <row r="22" spans="1:14" ht="15.75" thickBot="1" x14ac:dyDescent="0.3">
      <c r="A22" s="17">
        <v>45453.947372685187</v>
      </c>
      <c r="B22" s="18" t="s">
        <v>5</v>
      </c>
      <c r="C22" s="18" t="s">
        <v>9</v>
      </c>
      <c r="D22" s="18">
        <v>398</v>
      </c>
      <c r="E22" s="18">
        <v>33</v>
      </c>
    </row>
    <row r="23" spans="1:14" ht="15.75" thickBot="1" x14ac:dyDescent="0.3">
      <c r="A23" s="17">
        <v>45463.473680555559</v>
      </c>
      <c r="B23" s="18" t="s">
        <v>11</v>
      </c>
      <c r="C23" s="18" t="s">
        <v>8</v>
      </c>
      <c r="D23" s="18">
        <v>347</v>
      </c>
      <c r="E23" s="18">
        <v>35</v>
      </c>
    </row>
    <row r="24" spans="1:14" x14ac:dyDescent="0.25">
      <c r="A24" s="19">
        <v>45473</v>
      </c>
      <c r="B24" s="20" t="s">
        <v>7</v>
      </c>
      <c r="C24" s="20" t="s">
        <v>9</v>
      </c>
      <c r="D24" s="20">
        <v>319</v>
      </c>
      <c r="E24" s="20">
        <v>45</v>
      </c>
    </row>
  </sheetData>
  <pageMargins left="0.7" right="0.7" top="0.75" bottom="0.75" header="0.3" footer="0.3"/>
  <pageSetup orientation="portrait" r:id="rId3"/>
  <tableParts count="1">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selection activeCell="I5" sqref="I5"/>
    </sheetView>
  </sheetViews>
  <sheetFormatPr defaultRowHeight="15" x14ac:dyDescent="0.25"/>
  <cols>
    <col min="1" max="1" width="15.5703125" bestFit="1" customWidth="1"/>
    <col min="2" max="2" width="11.7109375" bestFit="1" customWidth="1"/>
    <col min="3" max="3" width="12.42578125" bestFit="1" customWidth="1"/>
    <col min="4" max="4" width="10.140625" bestFit="1" customWidth="1"/>
    <col min="5" max="5" width="13.28515625" bestFit="1" customWidth="1"/>
    <col min="7" max="7" width="48.7109375" bestFit="1" customWidth="1"/>
    <col min="8" max="8" width="12.140625" bestFit="1" customWidth="1"/>
  </cols>
  <sheetData>
    <row r="1" spans="1:8" x14ac:dyDescent="0.25">
      <c r="A1" s="11" t="s">
        <v>102</v>
      </c>
    </row>
    <row r="2" spans="1:8" x14ac:dyDescent="0.25">
      <c r="A2" s="11" t="s">
        <v>103</v>
      </c>
    </row>
    <row r="4" spans="1:8" ht="15.75" thickBot="1" x14ac:dyDescent="0.3">
      <c r="A4" s="15" t="s">
        <v>0</v>
      </c>
      <c r="B4" s="16" t="s">
        <v>1</v>
      </c>
      <c r="C4" s="16" t="s">
        <v>2</v>
      </c>
      <c r="D4" s="16" t="s">
        <v>3</v>
      </c>
      <c r="E4" s="16" t="s">
        <v>4</v>
      </c>
    </row>
    <row r="5" spans="1:8" ht="15.75" thickBot="1" x14ac:dyDescent="0.3">
      <c r="A5" s="17">
        <v>45292</v>
      </c>
      <c r="B5" s="18" t="s">
        <v>5</v>
      </c>
      <c r="C5" s="18" t="s">
        <v>6</v>
      </c>
      <c r="D5" s="18">
        <v>456</v>
      </c>
      <c r="E5" s="18">
        <v>93</v>
      </c>
    </row>
    <row r="6" spans="1:8" ht="15.75" thickBot="1" x14ac:dyDescent="0.3">
      <c r="A6" s="17">
        <v>45301.526319444441</v>
      </c>
      <c r="B6" s="18" t="s">
        <v>7</v>
      </c>
      <c r="C6" s="18" t="s">
        <v>8</v>
      </c>
      <c r="D6" s="18">
        <v>348</v>
      </c>
      <c r="E6" s="18">
        <v>56</v>
      </c>
    </row>
    <row r="7" spans="1:8" ht="15.75" thickBot="1" x14ac:dyDescent="0.3">
      <c r="A7" s="17">
        <v>45311.052627314813</v>
      </c>
      <c r="B7" s="18" t="s">
        <v>7</v>
      </c>
      <c r="C7" s="18" t="s">
        <v>6</v>
      </c>
      <c r="D7" s="18">
        <v>247</v>
      </c>
      <c r="E7" s="18">
        <v>76</v>
      </c>
      <c r="G7" s="25" t="s">
        <v>39</v>
      </c>
      <c r="H7" t="s">
        <v>41</v>
      </c>
    </row>
    <row r="8" spans="1:8" ht="15.75" thickBot="1" x14ac:dyDescent="0.3">
      <c r="A8" s="17">
        <v>45320.578946759262</v>
      </c>
      <c r="B8" s="18" t="s">
        <v>5</v>
      </c>
      <c r="C8" s="18" t="s">
        <v>9</v>
      </c>
      <c r="D8" s="18">
        <v>230</v>
      </c>
      <c r="E8" s="18">
        <v>37</v>
      </c>
      <c r="G8" s="53" t="s">
        <v>105</v>
      </c>
      <c r="H8" s="27">
        <v>4308</v>
      </c>
    </row>
    <row r="9" spans="1:8" ht="15.75" thickBot="1" x14ac:dyDescent="0.3">
      <c r="A9" s="17">
        <v>45330.105266203704</v>
      </c>
      <c r="B9" s="18" t="s">
        <v>5</v>
      </c>
      <c r="C9" s="18" t="s">
        <v>6</v>
      </c>
      <c r="D9" s="18">
        <v>281</v>
      </c>
      <c r="E9" s="18">
        <v>50</v>
      </c>
      <c r="G9" s="26" t="s">
        <v>6</v>
      </c>
      <c r="H9" s="27"/>
    </row>
    <row r="10" spans="1:8" ht="15.75" thickBot="1" x14ac:dyDescent="0.3">
      <c r="A10" s="17">
        <v>45339.631574074076</v>
      </c>
      <c r="B10" s="18" t="s">
        <v>5</v>
      </c>
      <c r="C10" s="18" t="s">
        <v>8</v>
      </c>
      <c r="D10" s="18">
        <v>334</v>
      </c>
      <c r="E10" s="18">
        <v>52</v>
      </c>
      <c r="G10" s="52" t="s">
        <v>6</v>
      </c>
      <c r="H10" s="27">
        <v>2521</v>
      </c>
    </row>
    <row r="11" spans="1:8" ht="15.75" thickBot="1" x14ac:dyDescent="0.3">
      <c r="A11" s="17">
        <v>45349.157893518517</v>
      </c>
      <c r="B11" s="18" t="s">
        <v>7</v>
      </c>
      <c r="C11" s="18" t="s">
        <v>9</v>
      </c>
      <c r="D11" s="18">
        <v>417</v>
      </c>
      <c r="E11" s="18">
        <v>29</v>
      </c>
      <c r="G11" s="26" t="s">
        <v>40</v>
      </c>
      <c r="H11" s="27">
        <v>6829</v>
      </c>
    </row>
    <row r="12" spans="1:8" ht="15.75" thickBot="1" x14ac:dyDescent="0.3">
      <c r="A12" s="17">
        <v>45358.684212962966</v>
      </c>
      <c r="B12" s="18" t="s">
        <v>5</v>
      </c>
      <c r="C12" s="18" t="s">
        <v>9</v>
      </c>
      <c r="D12" s="18">
        <v>441</v>
      </c>
      <c r="E12" s="18">
        <v>44</v>
      </c>
    </row>
    <row r="13" spans="1:8" ht="15.75" thickBot="1" x14ac:dyDescent="0.3">
      <c r="A13" s="17">
        <v>45368.210520833331</v>
      </c>
      <c r="B13" s="18" t="s">
        <v>7</v>
      </c>
      <c r="C13" s="18" t="s">
        <v>6</v>
      </c>
      <c r="D13" s="18">
        <v>76</v>
      </c>
      <c r="E13" s="18">
        <v>63</v>
      </c>
      <c r="G13" s="11" t="s">
        <v>106</v>
      </c>
    </row>
    <row r="14" spans="1:8" ht="15.75" thickBot="1" x14ac:dyDescent="0.3">
      <c r="A14" s="17">
        <v>45377.736840277779</v>
      </c>
      <c r="B14" s="18" t="s">
        <v>5</v>
      </c>
      <c r="C14" s="18" t="s">
        <v>8</v>
      </c>
      <c r="D14" s="18">
        <v>441</v>
      </c>
      <c r="E14" s="18">
        <v>79</v>
      </c>
      <c r="G14" s="14" t="s">
        <v>107</v>
      </c>
      <c r="H14" s="14"/>
    </row>
    <row r="15" spans="1:8" ht="15.75" thickBot="1" x14ac:dyDescent="0.3">
      <c r="A15" s="17">
        <v>45387.263159722221</v>
      </c>
      <c r="B15" s="18" t="s">
        <v>7</v>
      </c>
      <c r="C15" s="18" t="s">
        <v>6</v>
      </c>
      <c r="D15" s="18">
        <v>205</v>
      </c>
      <c r="E15" s="18">
        <v>23</v>
      </c>
      <c r="G15" s="14" t="s">
        <v>108</v>
      </c>
      <c r="H15" s="14"/>
    </row>
    <row r="16" spans="1:8" ht="15.75" thickBot="1" x14ac:dyDescent="0.3">
      <c r="A16" s="17">
        <v>45396.789479166669</v>
      </c>
      <c r="B16" s="18" t="s">
        <v>5</v>
      </c>
      <c r="C16" s="18" t="s">
        <v>8</v>
      </c>
      <c r="D16" s="18">
        <v>483</v>
      </c>
      <c r="E16" s="18">
        <v>97</v>
      </c>
    </row>
    <row r="17" spans="1:5" ht="15.75" thickBot="1" x14ac:dyDescent="0.3">
      <c r="A17" s="17">
        <v>45406.315787037034</v>
      </c>
      <c r="B17" s="18" t="s">
        <v>10</v>
      </c>
      <c r="C17" s="18" t="s">
        <v>6</v>
      </c>
      <c r="D17" s="18">
        <v>467</v>
      </c>
      <c r="E17" s="18">
        <v>97</v>
      </c>
    </row>
    <row r="18" spans="1:5" ht="15.75" thickBot="1" x14ac:dyDescent="0.3">
      <c r="A18" s="17">
        <v>45415.842106481483</v>
      </c>
      <c r="B18" s="18" t="s">
        <v>5</v>
      </c>
      <c r="C18" s="18" t="s">
        <v>6</v>
      </c>
      <c r="D18" s="18">
        <v>380</v>
      </c>
      <c r="E18" s="18">
        <v>92</v>
      </c>
    </row>
    <row r="19" spans="1:5" ht="15.75" thickBot="1" x14ac:dyDescent="0.3">
      <c r="A19" s="17">
        <v>45425.368425925924</v>
      </c>
      <c r="B19" s="18" t="s">
        <v>7</v>
      </c>
      <c r="C19" s="18" t="s">
        <v>8</v>
      </c>
      <c r="D19" s="18">
        <v>497</v>
      </c>
      <c r="E19" s="18">
        <v>71</v>
      </c>
    </row>
    <row r="20" spans="1:5" ht="15.75" thickBot="1" x14ac:dyDescent="0.3">
      <c r="A20" s="17">
        <v>45434.894733796296</v>
      </c>
      <c r="B20" s="18" t="s">
        <v>7</v>
      </c>
      <c r="C20" s="18" t="s">
        <v>6</v>
      </c>
      <c r="D20" s="18">
        <v>409</v>
      </c>
      <c r="E20" s="18">
        <v>81</v>
      </c>
    </row>
    <row r="21" spans="1:5" ht="15.75" thickBot="1" x14ac:dyDescent="0.3">
      <c r="A21" s="17">
        <v>45444.421053240738</v>
      </c>
      <c r="B21" s="18" t="s">
        <v>5</v>
      </c>
      <c r="C21" s="18" t="s">
        <v>8</v>
      </c>
      <c r="D21" s="18">
        <v>53</v>
      </c>
      <c r="E21" s="18">
        <v>45</v>
      </c>
    </row>
    <row r="22" spans="1:5" ht="15.75" thickBot="1" x14ac:dyDescent="0.3">
      <c r="A22" s="17">
        <v>45453.947372685187</v>
      </c>
      <c r="B22" s="18" t="s">
        <v>5</v>
      </c>
      <c r="C22" s="18" t="s">
        <v>9</v>
      </c>
      <c r="D22" s="18">
        <v>398</v>
      </c>
      <c r="E22" s="18">
        <v>33</v>
      </c>
    </row>
    <row r="23" spans="1:5" ht="15.75" thickBot="1" x14ac:dyDescent="0.3">
      <c r="A23" s="17">
        <v>45463.473680555559</v>
      </c>
      <c r="B23" s="18" t="s">
        <v>11</v>
      </c>
      <c r="C23" s="18" t="s">
        <v>8</v>
      </c>
      <c r="D23" s="18">
        <v>347</v>
      </c>
      <c r="E23" s="18">
        <v>35</v>
      </c>
    </row>
    <row r="24" spans="1:5" x14ac:dyDescent="0.25">
      <c r="A24" s="19">
        <v>45473</v>
      </c>
      <c r="B24" s="20" t="s">
        <v>7</v>
      </c>
      <c r="C24" s="20" t="s">
        <v>9</v>
      </c>
      <c r="D24" s="20">
        <v>319</v>
      </c>
      <c r="E24" s="20">
        <v>45</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Description Sheet</vt:lpstr>
      <vt:lpstr>Answer 1</vt:lpstr>
      <vt:lpstr>Answer 2</vt:lpstr>
      <vt:lpstr>Answer 3</vt:lpstr>
      <vt:lpstr>Answer 4</vt:lpstr>
      <vt:lpstr>Answer 5</vt:lpstr>
      <vt:lpstr>Answer 6(a)</vt:lpstr>
      <vt:lpstr>Answer 6(b)</vt:lpstr>
      <vt:lpstr>Answer 7</vt:lpstr>
      <vt:lpstr> Answer 8(a)</vt:lpstr>
      <vt:lpstr>Answer 8(b)</vt:lpstr>
      <vt:lpstr>Answer 8(c)</vt:lpstr>
      <vt:lpstr>Answer 9</vt:lpstr>
      <vt:lpstr>Answer 10</vt:lpstr>
    </vt:vector>
  </TitlesOfParts>
  <Company>PricewaterhouseCoopers</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dc:creator>
  <cp:lastModifiedBy>SONY</cp:lastModifiedBy>
  <dcterms:created xsi:type="dcterms:W3CDTF">2025-12-17T13:05:11Z</dcterms:created>
  <dcterms:modified xsi:type="dcterms:W3CDTF">2025-12-18T17:15:46Z</dcterms:modified>
</cp:coreProperties>
</file>