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7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SONY\Desktop\"/>
    </mc:Choice>
  </mc:AlternateContent>
  <bookViews>
    <workbookView xWindow="0" yWindow="0" windowWidth="20490" windowHeight="7755" activeTab="7"/>
  </bookViews>
  <sheets>
    <sheet name="Answer 1" sheetId="1" r:id="rId1"/>
    <sheet name="Answer 2" sheetId="2" r:id="rId2"/>
    <sheet name="Answer 3" sheetId="3" r:id="rId3"/>
    <sheet name="Answer 4" sheetId="4" r:id="rId4"/>
    <sheet name="Answer 5" sheetId="5" r:id="rId5"/>
    <sheet name="Answer 6" sheetId="6" r:id="rId6"/>
    <sheet name="Answer 7" sheetId="7" r:id="rId7"/>
    <sheet name="Answer 8" sheetId="11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4" i="11" l="1"/>
  <c r="I53" i="11"/>
  <c r="I52" i="11"/>
  <c r="I51" i="11"/>
  <c r="I50" i="11"/>
  <c r="I49" i="11"/>
  <c r="I48" i="11"/>
  <c r="I47" i="11"/>
  <c r="I46" i="11"/>
  <c r="I45" i="11"/>
  <c r="I44" i="11"/>
  <c r="I43" i="11"/>
  <c r="I42" i="11"/>
  <c r="I41" i="11"/>
  <c r="I40" i="11"/>
  <c r="I39" i="11"/>
  <c r="I38" i="11"/>
  <c r="I37" i="11"/>
  <c r="I36" i="11"/>
  <c r="I35" i="11"/>
  <c r="I34" i="11"/>
  <c r="I33" i="11"/>
  <c r="I32" i="11"/>
  <c r="I31" i="11"/>
  <c r="I30" i="11"/>
  <c r="I29" i="11"/>
  <c r="I28" i="11"/>
  <c r="I27" i="11"/>
  <c r="I26" i="11"/>
  <c r="I25" i="11"/>
  <c r="I24" i="11"/>
  <c r="I23" i="11"/>
  <c r="I22" i="11"/>
  <c r="I21" i="11"/>
  <c r="I20" i="11"/>
  <c r="I19" i="11"/>
  <c r="I18" i="11"/>
  <c r="I17" i="11"/>
  <c r="I16" i="11"/>
  <c r="I15" i="11"/>
  <c r="I14" i="11"/>
  <c r="I13" i="11"/>
  <c r="I12" i="11"/>
  <c r="I11" i="11"/>
  <c r="I10" i="11"/>
  <c r="I9" i="11"/>
  <c r="I8" i="11"/>
  <c r="I7" i="11"/>
  <c r="I6" i="11"/>
  <c r="I5" i="11"/>
  <c r="I54" i="7"/>
  <c r="I53" i="7"/>
  <c r="I52" i="7"/>
  <c r="I51" i="7"/>
  <c r="I50" i="7"/>
  <c r="I49" i="7"/>
  <c r="I48" i="7"/>
  <c r="I47" i="7"/>
  <c r="I46" i="7"/>
  <c r="I45" i="7"/>
  <c r="I44" i="7"/>
  <c r="I43" i="7"/>
  <c r="I42" i="7"/>
  <c r="I41" i="7"/>
  <c r="I40" i="7"/>
  <c r="I39" i="7"/>
  <c r="I38" i="7"/>
  <c r="I37" i="7"/>
  <c r="I36" i="7"/>
  <c r="I35" i="7"/>
  <c r="I34" i="7"/>
  <c r="I33" i="7"/>
  <c r="I32" i="7"/>
  <c r="I31" i="7"/>
  <c r="I30" i="7"/>
  <c r="I29" i="7"/>
  <c r="I28" i="7"/>
  <c r="I27" i="7"/>
  <c r="I26" i="7"/>
  <c r="I25" i="7"/>
  <c r="I24" i="7"/>
  <c r="I23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I6" i="7"/>
  <c r="I5" i="7"/>
  <c r="K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5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6" i="5"/>
  <c r="I5" i="4"/>
  <c r="F8" i="3"/>
  <c r="C36" i="1"/>
  <c r="C31" i="1"/>
  <c r="C23" i="1"/>
  <c r="C16" i="1"/>
  <c r="C10" i="1"/>
  <c r="C9" i="1"/>
  <c r="D7" i="2"/>
  <c r="C32" i="1"/>
  <c r="C30" i="1"/>
  <c r="C37" i="1"/>
  <c r="C35" i="1"/>
  <c r="C24" i="1"/>
  <c r="C22" i="1"/>
  <c r="C17" i="1"/>
  <c r="C15" i="1"/>
  <c r="C8" i="1"/>
</calcChain>
</file>

<file path=xl/sharedStrings.xml><?xml version="1.0" encoding="utf-8"?>
<sst xmlns="http://schemas.openxmlformats.org/spreadsheetml/2006/main" count="858" uniqueCount="113">
  <si>
    <t>Q1</t>
  </si>
  <si>
    <t>Explain the difference between Relative , Absolute and Mixed Cell Referencing.</t>
  </si>
  <si>
    <t>You have following dataset:-</t>
  </si>
  <si>
    <t>Vechicle</t>
  </si>
  <si>
    <t>Car</t>
  </si>
  <si>
    <t>Bicycle</t>
  </si>
  <si>
    <t>Auto-Rickshaw</t>
  </si>
  <si>
    <t>Column1</t>
  </si>
  <si>
    <t>Column2</t>
  </si>
  <si>
    <t>Price</t>
  </si>
  <si>
    <t>RELATIVE CELL REFERENCING:-</t>
  </si>
  <si>
    <t>Changes automatically when copied.</t>
  </si>
  <si>
    <t>Column3</t>
  </si>
  <si>
    <t>ABSOLUTE CELL REFERENCING:-</t>
  </si>
  <si>
    <t>Let's we want to multiply each price by 10% GST, stored in cell G5.</t>
  </si>
  <si>
    <t>G5= 10%</t>
  </si>
  <si>
    <t>Here we fix G5.</t>
  </si>
  <si>
    <t>MIXED CELL REFERENCING:-</t>
  </si>
  <si>
    <t>Either row or coloumn is fixed here.</t>
  </si>
  <si>
    <t>2 types:-</t>
  </si>
  <si>
    <t>a.  Column fixed, row changes-&gt; $G5</t>
  </si>
  <si>
    <t>b.  Row fixed, column changes-&gt; G$5</t>
  </si>
  <si>
    <t>Does not change when copied because row and column are locked with $.</t>
  </si>
  <si>
    <t>Write a formula to calculate the total sales of Car and Bicyle only only.</t>
  </si>
  <si>
    <t>Q2</t>
  </si>
  <si>
    <t>Car= 500000</t>
  </si>
  <si>
    <t>Bicycle= 10500</t>
  </si>
  <si>
    <t>Using the data below, write a formula to calculate the average sales of items priced above 100 but less than 300</t>
  </si>
  <si>
    <t>Q3</t>
  </si>
  <si>
    <t>Item</t>
  </si>
  <si>
    <t>Sales</t>
  </si>
  <si>
    <t>Item A</t>
  </si>
  <si>
    <t>Item B</t>
  </si>
  <si>
    <t>Item C</t>
  </si>
  <si>
    <t>Count how many customer names are recorded</t>
  </si>
  <si>
    <t>Q4</t>
  </si>
  <si>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</si>
  <si>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</si>
  <si>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</si>
  <si>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</si>
  <si>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</si>
  <si>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</si>
  <si>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</si>
  <si>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</si>
  <si>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</si>
  <si>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</si>
  <si>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</si>
  <si>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</si>
  <si>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</si>
  <si>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</si>
  <si>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</si>
  <si>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</si>
  <si>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</si>
  <si>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</si>
  <si>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</si>
  <si>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</si>
  <si>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</si>
  <si>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</si>
  <si>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</si>
  <si>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Meera Nair</t>
  </si>
  <si>
    <t>Anjali Rao</t>
  </si>
  <si>
    <t>Manoj Das</t>
  </si>
  <si>
    <t>Ritika Sen</t>
  </si>
  <si>
    <t>Karan Malhotra</t>
  </si>
  <si>
    <t>Aryan Joshi</t>
  </si>
  <si>
    <t>Divya Kapoor</t>
  </si>
  <si>
    <t>Sahil Arora</t>
  </si>
  <si>
    <t>Muskan Jain</t>
  </si>
  <si>
    <t>Rohan Gupta</t>
  </si>
  <si>
    <t>Nidhi Sharma</t>
  </si>
  <si>
    <t>Tarun Verma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</si>
  <si>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</si>
  <si>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</si>
  <si>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</si>
  <si>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</si>
  <si>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</si>
  <si>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</si>
  <si>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</si>
  <si>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</si>
  <si>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</si>
  <si>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</si>
  <si>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</si>
  <si>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Harsh Yadav</t>
  </si>
  <si>
    <t>Kajal Rani</t>
  </si>
  <si>
    <t>Varun Sharma</t>
  </si>
  <si>
    <t>Swati Arora</t>
  </si>
  <si>
    <t>Akhil Jain</t>
  </si>
  <si>
    <t>Priyanka Das</t>
  </si>
  <si>
    <t>Ravi Nair</t>
  </si>
  <si>
    <t>Komal Singh</t>
  </si>
  <si>
    <t>Ayesha Khan</t>
  </si>
  <si>
    <t>Arjun Mehta</t>
  </si>
  <si>
    <t>Sonali Gupta</t>
  </si>
  <si>
    <t>Neeraj Kapoor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</si>
  <si>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</si>
  <si>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</si>
  <si>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</si>
  <si>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</si>
  <si>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</si>
  <si>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</si>
  <si>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</si>
  <si>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</si>
  <si>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Q5</t>
  </si>
  <si>
    <t>Calculate the Total Sales for each row using a formula.</t>
  </si>
  <si>
    <t>Here we using Sumproduct of Quantity and Unit Price.</t>
  </si>
  <si>
    <t>Q6</t>
  </si>
  <si>
    <t>Calculate the total sales of Notebooks in the North region only.</t>
  </si>
  <si>
    <t>TOTAL SALES</t>
  </si>
  <si>
    <t>Total Sales of North Region only.</t>
  </si>
  <si>
    <t>Q7</t>
  </si>
  <si>
    <t>Create a column chart showing total sales by product</t>
  </si>
  <si>
    <t>Q8</t>
  </si>
  <si>
    <t>Insert a line chart showing daily sales 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</si>
</sst>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/>
    <xf numFmtId="0" fontId="0" fillId="3" borderId="1" xfId="0" applyFont="1" applyFill="1" applyBorder="1"/>
    <xf numFmtId="0" fontId="0" fillId="0" borderId="1" xfId="0" applyFont="1" applyBorder="1"/>
    <xf numFmtId="0" fontId="0" fillId="0" borderId="0" xfId="0" applyAlignment="1">
      <alignment horizontal="center"/>
    </xf>
    <xf numFmtId="0" fontId="2" fillId="0" borderId="0" xfId="0" applyFont="1"/>
    <xf numFmtId="9" fontId="0" fillId="0" borderId="0" xfId="0" applyNumberFormat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3" borderId="2" xfId="0" applyFont="1" applyFill="1" applyBorder="1" applyAlignment="1">
      <alignment horizontal="center"/>
    </xf>
    <xf numFmtId="0" fontId="0" fillId="0" borderId="2" xfId="0" applyFont="1" applyBorder="1" applyAlignment="1">
      <alignment horizontal="center"/>
    </xf>
    <xf numFmtId="9" fontId="0" fillId="4" borderId="0" xfId="0" applyNumberFormat="1" applyFont="1" applyFill="1" applyAlignment="1">
      <alignment horizontal="center"/>
    </xf>
    <xf numFmtId="46" fontId="0" fillId="0" borderId="0" xfId="0" applyNumberFormat="1"/>
    <xf numFmtId="0" fontId="5" fillId="0" borderId="3" xfId="0" applyFont="1" applyBorder="1" applyAlignment="1">
      <alignment wrapText="1"/>
    </xf>
    <xf numFmtId="0" fontId="4" fillId="0" borderId="3" xfId="0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14" fontId="4" fillId="0" borderId="5" xfId="0" applyNumberFormat="1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4" fillId="0" borderId="9" xfId="0" applyFont="1" applyBorder="1" applyAlignment="1">
      <alignment horizontal="center" wrapText="1"/>
    </xf>
    <xf numFmtId="0" fontId="4" fillId="0" borderId="10" xfId="0" applyFont="1" applyBorder="1" applyAlignment="1">
      <alignment horizontal="center" wrapText="1"/>
    </xf>
    <xf numFmtId="14" fontId="4" fillId="0" borderId="11" xfId="0" applyNumberFormat="1" applyFont="1" applyBorder="1" applyAlignment="1">
      <alignment horizontal="center" wrapText="1"/>
    </xf>
    <xf numFmtId="0" fontId="0" fillId="5" borderId="0" xfId="0" applyFill="1" applyAlignment="1">
      <alignment horizontal="center"/>
    </xf>
    <xf numFmtId="0" fontId="6" fillId="0" borderId="0" xfId="0" applyFont="1"/>
  </cellXfs>
  <cellStyles count="1">
    <cellStyle name="Normal" xfId="0" builtinId="0"/>
  </cellStyles>
  <dxfs count="6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Eraser</c:v>
              </c:pt>
              <c:pt idx="1">
                <c:v>Marker</c:v>
              </c:pt>
              <c:pt idx="2">
                <c:v>Notebook</c:v>
              </c:pt>
              <c:pt idx="3">
                <c:v>Pen</c:v>
              </c:pt>
              <c:pt idx="4">
                <c:v>Pencil</c:v>
              </c:pt>
            </c:strLit>
          </c:cat>
          <c:val>
            <c:numLit>
              <c:formatCode>General</c:formatCode>
              <c:ptCount val="5"/>
              <c:pt idx="0">
                <c:v>9</c:v>
              </c:pt>
              <c:pt idx="1">
                <c:v>9</c:v>
              </c:pt>
              <c:pt idx="2">
                <c:v>13</c:v>
              </c:pt>
              <c:pt idx="3">
                <c:v>10</c:v>
              </c:pt>
              <c:pt idx="4">
                <c:v>9</c:v>
              </c:pt>
            </c:numLit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49835120"/>
        <c:axId val="449836296"/>
      </c:barChart>
      <c:catAx>
        <c:axId val="44983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836296"/>
        <c:crosses val="autoZero"/>
        <c:auto val="1"/>
        <c:lblAlgn val="ctr"/>
        <c:lblOffset val="100"/>
        <c:noMultiLvlLbl val="0"/>
      </c:catAx>
      <c:valAx>
        <c:axId val="449836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83512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'Answer 8'!$G$5:$G$54</c:f>
              <c:numCache>
                <c:formatCode>m/d/yyyy</c:formatCode>
                <c:ptCount val="50"/>
                <c:pt idx="0">
                  <c:v>45296</c:v>
                </c:pt>
                <c:pt idx="1">
                  <c:v>45297</c:v>
                </c:pt>
                <c:pt idx="2">
                  <c:v>45298</c:v>
                </c:pt>
                <c:pt idx="3">
                  <c:v>45299</c:v>
                </c:pt>
                <c:pt idx="4">
                  <c:v>45301</c:v>
                </c:pt>
                <c:pt idx="5">
                  <c:v>45302</c:v>
                </c:pt>
                <c:pt idx="6">
                  <c:v>45304</c:v>
                </c:pt>
                <c:pt idx="7">
                  <c:v>45306</c:v>
                </c:pt>
                <c:pt idx="8">
                  <c:v>45308</c:v>
                </c:pt>
                <c:pt idx="9">
                  <c:v>45309</c:v>
                </c:pt>
                <c:pt idx="10">
                  <c:v>45310</c:v>
                </c:pt>
                <c:pt idx="11">
                  <c:v>45311</c:v>
                </c:pt>
                <c:pt idx="12">
                  <c:v>45313</c:v>
                </c:pt>
                <c:pt idx="13">
                  <c:v>45314</c:v>
                </c:pt>
                <c:pt idx="14">
                  <c:v>45315</c:v>
                </c:pt>
                <c:pt idx="15">
                  <c:v>45317</c:v>
                </c:pt>
                <c:pt idx="16">
                  <c:v>45319</c:v>
                </c:pt>
                <c:pt idx="17">
                  <c:v>45320</c:v>
                </c:pt>
                <c:pt idx="18">
                  <c:v>45321</c:v>
                </c:pt>
                <c:pt idx="19">
                  <c:v>45323</c:v>
                </c:pt>
                <c:pt idx="20">
                  <c:v>45324</c:v>
                </c:pt>
                <c:pt idx="21">
                  <c:v>45325</c:v>
                </c:pt>
                <c:pt idx="22">
                  <c:v>45326</c:v>
                </c:pt>
                <c:pt idx="23">
                  <c:v>45328</c:v>
                </c:pt>
                <c:pt idx="24">
                  <c:v>45329</c:v>
                </c:pt>
                <c:pt idx="25">
                  <c:v>45330</c:v>
                </c:pt>
                <c:pt idx="26">
                  <c:v>45331</c:v>
                </c:pt>
                <c:pt idx="27">
                  <c:v>45332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45338</c:v>
                </c:pt>
                <c:pt idx="32">
                  <c:v>45339</c:v>
                </c:pt>
                <c:pt idx="33">
                  <c:v>45340</c:v>
                </c:pt>
                <c:pt idx="34">
                  <c:v>45341</c:v>
                </c:pt>
                <c:pt idx="35">
                  <c:v>45343</c:v>
                </c:pt>
                <c:pt idx="36">
                  <c:v>45344</c:v>
                </c:pt>
                <c:pt idx="37">
                  <c:v>45345</c:v>
                </c:pt>
                <c:pt idx="38">
                  <c:v>45347</c:v>
                </c:pt>
                <c:pt idx="39">
                  <c:v>45348</c:v>
                </c:pt>
                <c:pt idx="40">
                  <c:v>45349</c:v>
                </c:pt>
                <c:pt idx="41">
                  <c:v>45350</c:v>
                </c:pt>
                <c:pt idx="42">
                  <c:v>45352</c:v>
                </c:pt>
                <c:pt idx="43">
                  <c:v>45353</c:v>
                </c:pt>
                <c:pt idx="44">
                  <c:v>45354</c:v>
                </c:pt>
                <c:pt idx="45">
                  <c:v>45355</c:v>
                </c:pt>
                <c:pt idx="46">
                  <c:v>45356</c:v>
                </c:pt>
                <c:pt idx="47">
                  <c:v>45357</c:v>
                </c:pt>
                <c:pt idx="48">
                  <c:v>45358</c:v>
                </c:pt>
                <c:pt idx="49">
                  <c:v>45359</c:v>
                </c:pt>
              </c:numCache>
            </c:numRef>
          </c:cat>
          <c:val>
            <c:numRef>
              <c:f>'Answer 8'!$I$5:$I$54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2605208"/>
        <c:axId val="452605600"/>
      </c:lineChart>
      <c:dateAx>
        <c:axId val="45260520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605600"/>
        <c:crosses val="autoZero"/>
        <c:auto val="1"/>
        <c:lblOffset val="100"/>
        <c:baseTimeUnit val="days"/>
      </c:dateAx>
      <c:valAx>
        <c:axId val="45260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605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147202</xdr:colOff>
      <xdr:row>4</xdr:row>
      <xdr:rowOff>51956</xdr:rowOff>
    </xdr:from>
    <xdr:to>
      <xdr:col>17</xdr:col>
      <xdr:colOff>181839</xdr:colOff>
      <xdr:row>17</xdr:row>
      <xdr:rowOff>128156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209550</xdr:colOff>
      <xdr:row>3</xdr:row>
      <xdr:rowOff>23812</xdr:rowOff>
    </xdr:from>
    <xdr:to>
      <xdr:col>16</xdr:col>
      <xdr:colOff>514350</xdr:colOff>
      <xdr:row>15</xdr:row>
      <xdr:rowOff>166687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" name="Table2" displayName="Table2" ref="A5:C10" totalsRowShown="0">
  <autoFilter ref="A5:C10"/>
  <tableColumns count="3">
    <tableColumn id="1" name="Column1"/>
    <tableColumn id="2" name="Column2" dataDxfId="66"/>
    <tableColumn id="3" name="Column3" dataDxfId="65">
      <calculatedColumnFormula>Table2[[#This Row],[Column2]]*G3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4:C9" totalsRowShown="0" headerRowDxfId="64" dataDxfId="63">
  <autoFilter ref="A4:C9"/>
  <tableColumns count="3">
    <tableColumn id="1" name="Column1" dataDxfId="62"/>
    <tableColumn id="2" name="Column2" dataDxfId="61"/>
    <tableColumn id="3" name="Column3" dataDxfId="6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A4:G54" totalsRowShown="0" headerRowDxfId="59" dataDxfId="57" headerRowBorderDxfId="58" tableBorderDxfId="56" totalsRowBorderDxfId="55">
  <autoFilter ref="A4:G54"/>
  <tableColumns count="7">
    <tableColumn id="1" name="OrderID" dataDxfId="54"/>
    <tableColumn id="2" name="CustomerName" dataDxfId="53"/>
    <tableColumn id="3" name="Region" dataDxfId="52"/>
    <tableColumn id="4" name="Product" dataDxfId="51"/>
    <tableColumn id="5" name="Quantity" dataDxfId="50"/>
    <tableColumn id="6" name="UnitPrice" dataDxfId="49"/>
    <tableColumn id="7" name="OrderDate" dataDxfId="4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5" name="Table46" displayName="Table46" ref="A4:G54" totalsRowShown="0" headerRowDxfId="47" dataDxfId="45" headerRowBorderDxfId="46" tableBorderDxfId="44" totalsRowBorderDxfId="43">
  <autoFilter ref="A4:G54"/>
  <tableColumns count="7">
    <tableColumn id="1" name="OrderID" dataDxfId="42"/>
    <tableColumn id="2" name="CustomerName" dataDxfId="41"/>
    <tableColumn id="3" name="Region" dataDxfId="40"/>
    <tableColumn id="4" name="Product" dataDxfId="39"/>
    <tableColumn id="5" name="Quantity" dataDxfId="38"/>
    <tableColumn id="6" name="UnitPrice" dataDxfId="37"/>
    <tableColumn id="7" name="OrderDate" dataDxfId="3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6" name="Table467" displayName="Table467" ref="A4:G54" totalsRowShown="0" headerRowDxfId="35" dataDxfId="33" headerRowBorderDxfId="34" tableBorderDxfId="32" totalsRowBorderDxfId="31">
  <autoFilter ref="A4:G54"/>
  <tableColumns count="7">
    <tableColumn id="1" name="OrderID" dataDxfId="30"/>
    <tableColumn id="2" name="CustomerName" dataDxfId="29"/>
    <tableColumn id="3" name="Region" dataDxfId="28"/>
    <tableColumn id="4" name="Product" dataDxfId="27"/>
    <tableColumn id="5" name="Quantity" dataDxfId="26"/>
    <tableColumn id="6" name="UnitPrice" dataDxfId="25"/>
    <tableColumn id="7" name="OrderDate" dataDxfId="2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7" name="Table4678" displayName="Table4678" ref="A4:G54" totalsRowShown="0" headerRowDxfId="23" dataDxfId="21" headerRowBorderDxfId="22" tableBorderDxfId="20" totalsRowBorderDxfId="19">
  <autoFilter ref="A4:G54"/>
  <tableColumns count="7">
    <tableColumn id="1" name="OrderID" dataDxfId="18"/>
    <tableColumn id="2" name="CustomerName" dataDxfId="17"/>
    <tableColumn id="3" name="Region" dataDxfId="16"/>
    <tableColumn id="4" name="Product" dataDxfId="15"/>
    <tableColumn id="5" name="Quantity" dataDxfId="14"/>
    <tableColumn id="6" name="UnitPrice" dataDxfId="13"/>
    <tableColumn id="7" name="OrderDate" dataDxfId="1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9" name="Table46710" displayName="Table46710" ref="A4:G54" totalsRowShown="0" headerRowDxfId="11" dataDxfId="9" headerRowBorderDxfId="10" tableBorderDxfId="8" totalsRowBorderDxfId="7">
  <autoFilter ref="A4:G54"/>
  <tableColumns count="7">
    <tableColumn id="1" name="OrderID" dataDxfId="6"/>
    <tableColumn id="2" name="CustomerName" dataDxfId="5"/>
    <tableColumn id="3" name="Region" dataDxfId="4"/>
    <tableColumn id="4" name="Product" dataDxfId="3"/>
    <tableColumn id="5" name="Quantity" dataDxfId="2"/>
    <tableColumn id="6" name="UnitPrice" dataDxfId="1"/>
    <tableColumn id="7" name="Order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topLeftCell="A11" workbookViewId="0">
      <selection activeCell="C37" sqref="C37"/>
    </sheetView>
  </sheetViews>
  <sheetFormatPr defaultRowHeight="15" x14ac:dyDescent="0.25"/>
  <cols>
    <col min="1" max="1" width="105.140625" bestFit="1" customWidth="1"/>
    <col min="2" max="2" width="14.28515625" style="4" bestFit="1" customWidth="1"/>
    <col min="3" max="4" width="9.140625" style="4"/>
  </cols>
  <sheetData>
    <row r="1" spans="1:7" x14ac:dyDescent="0.25">
      <c r="A1" t="s">
        <v>0</v>
      </c>
    </row>
    <row r="2" spans="1:7" x14ac:dyDescent="0.25">
      <c r="A2" t="s">
        <v>1</v>
      </c>
    </row>
    <row r="3" spans="1:7" x14ac:dyDescent="0.25">
      <c r="A3" t="s">
        <v>2</v>
      </c>
    </row>
    <row r="5" spans="1:7" x14ac:dyDescent="0.25">
      <c r="A5" t="s">
        <v>7</v>
      </c>
      <c r="B5" s="4" t="s">
        <v>8</v>
      </c>
      <c r="C5" s="4" t="s">
        <v>12</v>
      </c>
      <c r="D5" s="6"/>
      <c r="G5" s="10">
        <v>0.1</v>
      </c>
    </row>
    <row r="6" spans="1:7" x14ac:dyDescent="0.25">
      <c r="A6" t="s">
        <v>3</v>
      </c>
      <c r="B6" s="4" t="s">
        <v>9</v>
      </c>
    </row>
    <row r="8" spans="1:7" x14ac:dyDescent="0.25">
      <c r="A8" t="s">
        <v>4</v>
      </c>
      <c r="B8" s="4">
        <v>500000</v>
      </c>
      <c r="C8" s="4">
        <f>Table2[[#This Row],[Column2]]*G5</f>
        <v>50000</v>
      </c>
    </row>
    <row r="9" spans="1:7" x14ac:dyDescent="0.25">
      <c r="A9" t="s">
        <v>5</v>
      </c>
      <c r="B9" s="4">
        <v>10500</v>
      </c>
      <c r="C9" s="4">
        <f>Table2[[#This Row],[Column2]]*G5</f>
        <v>1050</v>
      </c>
    </row>
    <row r="10" spans="1:7" x14ac:dyDescent="0.25">
      <c r="A10" t="s">
        <v>6</v>
      </c>
      <c r="B10" s="4">
        <v>25000</v>
      </c>
      <c r="C10" s="4">
        <f>Table2[[#This Row],[Column2]]*G5</f>
        <v>2500</v>
      </c>
    </row>
    <row r="12" spans="1:7" x14ac:dyDescent="0.25">
      <c r="A12" s="5" t="s">
        <v>10</v>
      </c>
    </row>
    <row r="13" spans="1:7" x14ac:dyDescent="0.25">
      <c r="A13" t="s">
        <v>11</v>
      </c>
    </row>
    <row r="14" spans="1:7" x14ac:dyDescent="0.25">
      <c r="A14" t="s">
        <v>14</v>
      </c>
    </row>
    <row r="15" spans="1:7" x14ac:dyDescent="0.25">
      <c r="B15" s="4" t="s">
        <v>4</v>
      </c>
      <c r="C15" s="4">
        <f>B8*G5</f>
        <v>50000</v>
      </c>
    </row>
    <row r="16" spans="1:7" x14ac:dyDescent="0.25">
      <c r="B16" s="4" t="s">
        <v>5</v>
      </c>
      <c r="C16" s="4">
        <f>B9*G5</f>
        <v>1050</v>
      </c>
    </row>
    <row r="17" spans="1:3" x14ac:dyDescent="0.25">
      <c r="B17" s="4" t="s">
        <v>6</v>
      </c>
      <c r="C17" s="4">
        <f>B10*G5</f>
        <v>2500</v>
      </c>
    </row>
    <row r="19" spans="1:3" x14ac:dyDescent="0.25">
      <c r="A19" s="5" t="s">
        <v>13</v>
      </c>
    </row>
    <row r="20" spans="1:3" x14ac:dyDescent="0.25">
      <c r="A20" t="s">
        <v>22</v>
      </c>
    </row>
    <row r="21" spans="1:3" x14ac:dyDescent="0.25">
      <c r="A21" t="s">
        <v>15</v>
      </c>
    </row>
    <row r="22" spans="1:3" x14ac:dyDescent="0.25">
      <c r="A22" t="s">
        <v>16</v>
      </c>
      <c r="B22" s="4" t="s">
        <v>4</v>
      </c>
      <c r="C22" s="4">
        <f>B8*$G$5</f>
        <v>50000</v>
      </c>
    </row>
    <row r="23" spans="1:3" x14ac:dyDescent="0.25">
      <c r="B23" s="4" t="s">
        <v>5</v>
      </c>
      <c r="C23" s="4">
        <f>B9*$G$5</f>
        <v>1050</v>
      </c>
    </row>
    <row r="24" spans="1:3" x14ac:dyDescent="0.25">
      <c r="B24" s="4" t="s">
        <v>6</v>
      </c>
      <c r="C24" s="4">
        <f t="shared" ref="C24" si="0">B10*$G$5</f>
        <v>2500</v>
      </c>
    </row>
    <row r="26" spans="1:3" x14ac:dyDescent="0.25">
      <c r="A26" s="5" t="s">
        <v>17</v>
      </c>
    </row>
    <row r="27" spans="1:3" x14ac:dyDescent="0.25">
      <c r="A27" t="s">
        <v>18</v>
      </c>
    </row>
    <row r="29" spans="1:3" x14ac:dyDescent="0.25">
      <c r="A29" s="5" t="s">
        <v>19</v>
      </c>
    </row>
    <row r="30" spans="1:3" x14ac:dyDescent="0.25">
      <c r="A30" t="s">
        <v>20</v>
      </c>
      <c r="B30" s="4" t="s">
        <v>4</v>
      </c>
      <c r="C30" s="4">
        <f>B8*$G5</f>
        <v>50000</v>
      </c>
    </row>
    <row r="31" spans="1:3" x14ac:dyDescent="0.25">
      <c r="B31" s="4" t="s">
        <v>5</v>
      </c>
      <c r="C31" s="4">
        <f>B9*G5</f>
        <v>1050</v>
      </c>
    </row>
    <row r="32" spans="1:3" x14ac:dyDescent="0.25">
      <c r="B32" s="4" t="s">
        <v>6</v>
      </c>
      <c r="C32" s="4">
        <f>B10*$G5</f>
        <v>2500</v>
      </c>
    </row>
    <row r="35" spans="1:3" x14ac:dyDescent="0.25">
      <c r="A35" t="s">
        <v>21</v>
      </c>
      <c r="B35" s="4" t="s">
        <v>4</v>
      </c>
      <c r="C35" s="4">
        <f>B8*G$5</f>
        <v>50000</v>
      </c>
    </row>
    <row r="36" spans="1:3" x14ac:dyDescent="0.25">
      <c r="B36" s="4" t="s">
        <v>5</v>
      </c>
      <c r="C36" s="4">
        <f>B9*G$5</f>
        <v>1050</v>
      </c>
    </row>
    <row r="37" spans="1:3" x14ac:dyDescent="0.25">
      <c r="B37" s="4" t="s">
        <v>6</v>
      </c>
      <c r="C37" s="4">
        <f t="shared" ref="C37" si="1">B10*G$5</f>
        <v>2500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D7" sqref="D7"/>
    </sheetView>
  </sheetViews>
  <sheetFormatPr defaultRowHeight="15" x14ac:dyDescent="0.25"/>
  <cols>
    <col min="4" max="4" width="13.7109375" bestFit="1" customWidth="1"/>
  </cols>
  <sheetData>
    <row r="1" spans="1:4" x14ac:dyDescent="0.25">
      <c r="A1" t="s">
        <v>24</v>
      </c>
    </row>
    <row r="2" spans="1:4" x14ac:dyDescent="0.25">
      <c r="A2" t="s">
        <v>23</v>
      </c>
    </row>
    <row r="4" spans="1:4" x14ac:dyDescent="0.25">
      <c r="A4" s="1" t="s">
        <v>7</v>
      </c>
      <c r="B4" s="7" t="s">
        <v>8</v>
      </c>
      <c r="D4" t="s">
        <v>25</v>
      </c>
    </row>
    <row r="5" spans="1:4" x14ac:dyDescent="0.25">
      <c r="A5" s="2" t="s">
        <v>3</v>
      </c>
      <c r="B5" s="8" t="s">
        <v>9</v>
      </c>
      <c r="D5" t="s">
        <v>26</v>
      </c>
    </row>
    <row r="6" spans="1:4" x14ac:dyDescent="0.25">
      <c r="A6" s="3"/>
      <c r="B6" s="9"/>
    </row>
    <row r="7" spans="1:4" x14ac:dyDescent="0.25">
      <c r="A7" s="2" t="s">
        <v>4</v>
      </c>
      <c r="B7" s="8">
        <v>500000</v>
      </c>
      <c r="D7">
        <f>SUM(B7,B8)</f>
        <v>510500</v>
      </c>
    </row>
    <row r="8" spans="1:4" x14ac:dyDescent="0.25">
      <c r="A8" s="3" t="s">
        <v>5</v>
      </c>
      <c r="B8" s="9">
        <v>10500</v>
      </c>
    </row>
    <row r="9" spans="1:4" x14ac:dyDescent="0.25">
      <c r="A9" s="2" t="s">
        <v>6</v>
      </c>
      <c r="B9" s="8">
        <v>25000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F8" sqref="F8"/>
    </sheetView>
  </sheetViews>
  <sheetFormatPr defaultRowHeight="15" x14ac:dyDescent="0.25"/>
  <cols>
    <col min="1" max="3" width="11" customWidth="1"/>
    <col min="6" max="6" width="11.85546875" bestFit="1" customWidth="1"/>
  </cols>
  <sheetData>
    <row r="1" spans="1:6" x14ac:dyDescent="0.25">
      <c r="A1" t="s">
        <v>28</v>
      </c>
    </row>
    <row r="2" spans="1:6" x14ac:dyDescent="0.25">
      <c r="A2" t="s">
        <v>27</v>
      </c>
    </row>
    <row r="3" spans="1:6" x14ac:dyDescent="0.25">
      <c r="A3" s="11"/>
    </row>
    <row r="4" spans="1:6" x14ac:dyDescent="0.25">
      <c r="A4" s="4" t="s">
        <v>7</v>
      </c>
      <c r="B4" s="4" t="s">
        <v>8</v>
      </c>
      <c r="C4" s="4" t="s">
        <v>12</v>
      </c>
    </row>
    <row r="5" spans="1:6" x14ac:dyDescent="0.25">
      <c r="A5" s="4" t="s">
        <v>29</v>
      </c>
      <c r="B5" s="4" t="s">
        <v>9</v>
      </c>
      <c r="C5" s="4" t="s">
        <v>30</v>
      </c>
    </row>
    <row r="6" spans="1:6" x14ac:dyDescent="0.25">
      <c r="A6" s="4"/>
      <c r="B6" s="4"/>
      <c r="C6" s="4"/>
    </row>
    <row r="7" spans="1:6" x14ac:dyDescent="0.25">
      <c r="A7" s="4" t="s">
        <v>31</v>
      </c>
      <c r="B7" s="4">
        <v>90</v>
      </c>
      <c r="C7" s="4">
        <v>1000</v>
      </c>
    </row>
    <row r="8" spans="1:6" x14ac:dyDescent="0.25">
      <c r="A8" s="4" t="s">
        <v>32</v>
      </c>
      <c r="B8" s="4">
        <v>150</v>
      </c>
      <c r="C8" s="4">
        <v>1200</v>
      </c>
      <c r="F8">
        <f>AVERAGEIFS(C7:C9,B7:B9, "&gt;100",B7:B9,"&lt;300")</f>
        <v>1350</v>
      </c>
    </row>
    <row r="9" spans="1:6" x14ac:dyDescent="0.25">
      <c r="A9" s="4" t="s">
        <v>33</v>
      </c>
      <c r="B9" s="4">
        <v>250</v>
      </c>
      <c r="C9" s="4">
        <v>1500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5"/>
  <sheetViews>
    <sheetView workbookViewId="0">
      <selection activeCell="I5" sqref="I5"/>
    </sheetView>
  </sheetViews>
  <sheetFormatPr defaultRowHeight="15" x14ac:dyDescent="0.25"/>
  <cols>
    <col min="1" max="1" width="10.140625" customWidth="1"/>
    <col min="2" max="2" width="17" customWidth="1"/>
    <col min="3" max="3" width="9.28515625" customWidth="1"/>
    <col min="4" max="4" width="10" customWidth="1"/>
    <col min="5" max="5" width="10.85546875" customWidth="1"/>
    <col min="6" max="6" width="11.42578125" customWidth="1"/>
    <col min="7" max="7" width="12.42578125" customWidth="1"/>
  </cols>
  <sheetData>
    <row r="1" spans="1:9" x14ac:dyDescent="0.25">
      <c r="A1" t="s">
        <v>35</v>
      </c>
    </row>
    <row r="2" spans="1:9" x14ac:dyDescent="0.25">
      <c r="A2" t="s">
        <v>34</v>
      </c>
    </row>
    <row r="4" spans="1:9" ht="15.75" thickBot="1" x14ac:dyDescent="0.3">
      <c r="A4" s="17" t="s">
        <v>36</v>
      </c>
      <c r="B4" s="18" t="s">
        <v>37</v>
      </c>
      <c r="C4" s="18" t="s">
        <v>38</v>
      </c>
      <c r="D4" s="18" t="s">
        <v>39</v>
      </c>
      <c r="E4" s="18" t="s">
        <v>40</v>
      </c>
      <c r="F4" s="18" t="s">
        <v>41</v>
      </c>
      <c r="G4" s="19" t="s">
        <v>42</v>
      </c>
    </row>
    <row r="5" spans="1:9" ht="15.75" thickBot="1" x14ac:dyDescent="0.3">
      <c r="A5" s="15">
        <v>1001</v>
      </c>
      <c r="B5" s="13" t="s">
        <v>43</v>
      </c>
      <c r="C5" s="13" t="s">
        <v>44</v>
      </c>
      <c r="D5" s="13" t="s">
        <v>45</v>
      </c>
      <c r="E5" s="13">
        <v>10</v>
      </c>
      <c r="F5" s="13">
        <v>50</v>
      </c>
      <c r="G5" s="16">
        <v>45296</v>
      </c>
      <c r="I5">
        <f>COUNTA(Table4[CustomerName])</f>
        <v>50</v>
      </c>
    </row>
    <row r="6" spans="1:9" ht="30.75" thickBot="1" x14ac:dyDescent="0.3">
      <c r="A6" s="15">
        <v>1002</v>
      </c>
      <c r="B6" s="13" t="s">
        <v>46</v>
      </c>
      <c r="C6" s="13" t="s">
        <v>47</v>
      </c>
      <c r="D6" s="13" t="s">
        <v>48</v>
      </c>
      <c r="E6" s="13">
        <v>20</v>
      </c>
      <c r="F6" s="13">
        <v>10</v>
      </c>
      <c r="G6" s="16">
        <v>45297</v>
      </c>
    </row>
    <row r="7" spans="1:9" ht="30.75" thickBot="1" x14ac:dyDescent="0.3">
      <c r="A7" s="15">
        <v>1003</v>
      </c>
      <c r="B7" s="13" t="s">
        <v>49</v>
      </c>
      <c r="C7" s="13" t="s">
        <v>50</v>
      </c>
      <c r="D7" s="13" t="s">
        <v>51</v>
      </c>
      <c r="E7" s="13">
        <v>15</v>
      </c>
      <c r="F7" s="13">
        <v>25</v>
      </c>
      <c r="G7" s="16">
        <v>45298</v>
      </c>
    </row>
    <row r="8" spans="1:9" ht="30.75" thickBot="1" x14ac:dyDescent="0.3">
      <c r="A8" s="15">
        <v>1004</v>
      </c>
      <c r="B8" s="13" t="s">
        <v>52</v>
      </c>
      <c r="C8" s="13" t="s">
        <v>53</v>
      </c>
      <c r="D8" s="13" t="s">
        <v>45</v>
      </c>
      <c r="E8" s="13">
        <v>5</v>
      </c>
      <c r="F8" s="13">
        <v>50</v>
      </c>
      <c r="G8" s="16">
        <v>45299</v>
      </c>
    </row>
    <row r="9" spans="1:9" ht="30.75" thickBot="1" x14ac:dyDescent="0.3">
      <c r="A9" s="15">
        <v>1005</v>
      </c>
      <c r="B9" s="13" t="s">
        <v>54</v>
      </c>
      <c r="C9" s="13" t="s">
        <v>44</v>
      </c>
      <c r="D9" s="13" t="s">
        <v>55</v>
      </c>
      <c r="E9" s="13">
        <v>30</v>
      </c>
      <c r="F9" s="13">
        <v>5</v>
      </c>
      <c r="G9" s="16">
        <v>45301</v>
      </c>
    </row>
    <row r="10" spans="1:9" ht="30.75" thickBot="1" x14ac:dyDescent="0.3">
      <c r="A10" s="15">
        <v>1006</v>
      </c>
      <c r="B10" s="13" t="s">
        <v>56</v>
      </c>
      <c r="C10" s="13" t="s">
        <v>47</v>
      </c>
      <c r="D10" s="13" t="s">
        <v>45</v>
      </c>
      <c r="E10" s="13">
        <v>12</v>
      </c>
      <c r="F10" s="13">
        <v>50</v>
      </c>
      <c r="G10" s="16">
        <v>45302</v>
      </c>
    </row>
    <row r="11" spans="1:9" ht="30.75" thickBot="1" x14ac:dyDescent="0.3">
      <c r="A11" s="15">
        <v>1007</v>
      </c>
      <c r="B11" s="13" t="s">
        <v>57</v>
      </c>
      <c r="C11" s="13" t="s">
        <v>50</v>
      </c>
      <c r="D11" s="13" t="s">
        <v>58</v>
      </c>
      <c r="E11" s="13">
        <v>25</v>
      </c>
      <c r="F11" s="13">
        <v>8</v>
      </c>
      <c r="G11" s="16">
        <v>45304</v>
      </c>
    </row>
    <row r="12" spans="1:9" ht="30.75" thickBot="1" x14ac:dyDescent="0.3">
      <c r="A12" s="15">
        <v>1008</v>
      </c>
      <c r="B12" s="13" t="s">
        <v>59</v>
      </c>
      <c r="C12" s="13" t="s">
        <v>53</v>
      </c>
      <c r="D12" s="13" t="s">
        <v>48</v>
      </c>
      <c r="E12" s="13">
        <v>18</v>
      </c>
      <c r="F12" s="13">
        <v>10</v>
      </c>
      <c r="G12" s="16">
        <v>45306</v>
      </c>
    </row>
    <row r="13" spans="1:9" ht="30.75" thickBot="1" x14ac:dyDescent="0.3">
      <c r="A13" s="15">
        <v>1009</v>
      </c>
      <c r="B13" s="13" t="s">
        <v>60</v>
      </c>
      <c r="C13" s="13" t="s">
        <v>44</v>
      </c>
      <c r="D13" s="13" t="s">
        <v>51</v>
      </c>
      <c r="E13" s="13">
        <v>22</v>
      </c>
      <c r="F13" s="13">
        <v>25</v>
      </c>
      <c r="G13" s="16">
        <v>45308</v>
      </c>
    </row>
    <row r="14" spans="1:9" ht="30.75" thickBot="1" x14ac:dyDescent="0.3">
      <c r="A14" s="15">
        <v>1010</v>
      </c>
      <c r="B14" s="13" t="s">
        <v>61</v>
      </c>
      <c r="C14" s="13" t="s">
        <v>47</v>
      </c>
      <c r="D14" s="13" t="s">
        <v>45</v>
      </c>
      <c r="E14" s="13">
        <v>8</v>
      </c>
      <c r="F14" s="13">
        <v>50</v>
      </c>
      <c r="G14" s="16">
        <v>45309</v>
      </c>
    </row>
    <row r="15" spans="1:9" ht="15.75" thickBot="1" x14ac:dyDescent="0.3">
      <c r="A15" s="15">
        <v>1011</v>
      </c>
      <c r="B15" s="13" t="s">
        <v>62</v>
      </c>
      <c r="C15" s="13" t="s">
        <v>50</v>
      </c>
      <c r="D15" s="13" t="s">
        <v>55</v>
      </c>
      <c r="E15" s="13">
        <v>40</v>
      </c>
      <c r="F15" s="13">
        <v>5</v>
      </c>
      <c r="G15" s="16">
        <v>45310</v>
      </c>
    </row>
    <row r="16" spans="1:9" ht="15.75" thickBot="1" x14ac:dyDescent="0.3">
      <c r="A16" s="15">
        <v>1012</v>
      </c>
      <c r="B16" s="13" t="s">
        <v>63</v>
      </c>
      <c r="C16" s="13" t="s">
        <v>53</v>
      </c>
      <c r="D16" s="13" t="s">
        <v>58</v>
      </c>
      <c r="E16" s="13">
        <v>35</v>
      </c>
      <c r="F16" s="13">
        <v>8</v>
      </c>
      <c r="G16" s="16">
        <v>45311</v>
      </c>
    </row>
    <row r="17" spans="1:7" ht="15.75" thickBot="1" x14ac:dyDescent="0.3">
      <c r="A17" s="15">
        <v>1013</v>
      </c>
      <c r="B17" s="13" t="s">
        <v>64</v>
      </c>
      <c r="C17" s="13" t="s">
        <v>44</v>
      </c>
      <c r="D17" s="13" t="s">
        <v>45</v>
      </c>
      <c r="E17" s="13">
        <v>14</v>
      </c>
      <c r="F17" s="13">
        <v>50</v>
      </c>
      <c r="G17" s="16">
        <v>45313</v>
      </c>
    </row>
    <row r="18" spans="1:7" ht="15.75" thickBot="1" x14ac:dyDescent="0.3">
      <c r="A18" s="15">
        <v>1014</v>
      </c>
      <c r="B18" s="13" t="s">
        <v>65</v>
      </c>
      <c r="C18" s="13" t="s">
        <v>47</v>
      </c>
      <c r="D18" s="13" t="s">
        <v>48</v>
      </c>
      <c r="E18" s="13">
        <v>28</v>
      </c>
      <c r="F18" s="13">
        <v>10</v>
      </c>
      <c r="G18" s="16">
        <v>45314</v>
      </c>
    </row>
    <row r="19" spans="1:7" ht="15.75" thickBot="1" x14ac:dyDescent="0.3">
      <c r="A19" s="15">
        <v>1015</v>
      </c>
      <c r="B19" s="13" t="s">
        <v>66</v>
      </c>
      <c r="C19" s="13" t="s">
        <v>50</v>
      </c>
      <c r="D19" s="13" t="s">
        <v>51</v>
      </c>
      <c r="E19" s="13">
        <v>12</v>
      </c>
      <c r="F19" s="13">
        <v>25</v>
      </c>
      <c r="G19" s="16">
        <v>45315</v>
      </c>
    </row>
    <row r="20" spans="1:7" ht="15.75" thickBot="1" x14ac:dyDescent="0.3">
      <c r="A20" s="15">
        <v>1016</v>
      </c>
      <c r="B20" s="13" t="s">
        <v>67</v>
      </c>
      <c r="C20" s="13" t="s">
        <v>53</v>
      </c>
      <c r="D20" s="13" t="s">
        <v>55</v>
      </c>
      <c r="E20" s="13">
        <v>25</v>
      </c>
      <c r="F20" s="13">
        <v>5</v>
      </c>
      <c r="G20" s="16">
        <v>45317</v>
      </c>
    </row>
    <row r="21" spans="1:7" ht="15.75" thickBot="1" x14ac:dyDescent="0.3">
      <c r="A21" s="15">
        <v>1017</v>
      </c>
      <c r="B21" s="13" t="s">
        <v>68</v>
      </c>
      <c r="C21" s="13" t="s">
        <v>44</v>
      </c>
      <c r="D21" s="13" t="s">
        <v>58</v>
      </c>
      <c r="E21" s="13">
        <v>20</v>
      </c>
      <c r="F21" s="13">
        <v>8</v>
      </c>
      <c r="G21" s="16">
        <v>45319</v>
      </c>
    </row>
    <row r="22" spans="1:7" ht="15.75" thickBot="1" x14ac:dyDescent="0.3">
      <c r="A22" s="15">
        <v>1018</v>
      </c>
      <c r="B22" s="13" t="s">
        <v>69</v>
      </c>
      <c r="C22" s="13" t="s">
        <v>47</v>
      </c>
      <c r="D22" s="13" t="s">
        <v>45</v>
      </c>
      <c r="E22" s="13">
        <v>10</v>
      </c>
      <c r="F22" s="13">
        <v>50</v>
      </c>
      <c r="G22" s="16">
        <v>45320</v>
      </c>
    </row>
    <row r="23" spans="1:7" ht="15.75" thickBot="1" x14ac:dyDescent="0.3">
      <c r="A23" s="15">
        <v>1019</v>
      </c>
      <c r="B23" s="13" t="s">
        <v>70</v>
      </c>
      <c r="C23" s="13" t="s">
        <v>50</v>
      </c>
      <c r="D23" s="13" t="s">
        <v>48</v>
      </c>
      <c r="E23" s="13">
        <v>15</v>
      </c>
      <c r="F23" s="13">
        <v>10</v>
      </c>
      <c r="G23" s="16">
        <v>45321</v>
      </c>
    </row>
    <row r="24" spans="1:7" ht="15.75" thickBot="1" x14ac:dyDescent="0.3">
      <c r="A24" s="15">
        <v>1020</v>
      </c>
      <c r="B24" s="13" t="s">
        <v>71</v>
      </c>
      <c r="C24" s="13" t="s">
        <v>53</v>
      </c>
      <c r="D24" s="13" t="s">
        <v>51</v>
      </c>
      <c r="E24" s="13">
        <v>18</v>
      </c>
      <c r="F24" s="13">
        <v>25</v>
      </c>
      <c r="G24" s="16">
        <v>45323</v>
      </c>
    </row>
    <row r="25" spans="1:7" ht="15.75" thickBot="1" x14ac:dyDescent="0.3">
      <c r="A25" s="15">
        <v>1021</v>
      </c>
      <c r="B25" s="13" t="s">
        <v>72</v>
      </c>
      <c r="C25" s="13" t="s">
        <v>44</v>
      </c>
      <c r="D25" s="13" t="s">
        <v>45</v>
      </c>
      <c r="E25" s="13">
        <v>9</v>
      </c>
      <c r="F25" s="13">
        <v>50</v>
      </c>
      <c r="G25" s="16">
        <v>45324</v>
      </c>
    </row>
    <row r="26" spans="1:7" ht="15.75" thickBot="1" x14ac:dyDescent="0.3">
      <c r="A26" s="15">
        <v>1022</v>
      </c>
      <c r="B26" s="13" t="s">
        <v>73</v>
      </c>
      <c r="C26" s="13" t="s">
        <v>47</v>
      </c>
      <c r="D26" s="13" t="s">
        <v>55</v>
      </c>
      <c r="E26" s="13">
        <v>35</v>
      </c>
      <c r="F26" s="13">
        <v>5</v>
      </c>
      <c r="G26" s="16">
        <v>45325</v>
      </c>
    </row>
    <row r="27" spans="1:7" ht="15.75" thickBot="1" x14ac:dyDescent="0.3">
      <c r="A27" s="15">
        <v>1023</v>
      </c>
      <c r="B27" s="13" t="s">
        <v>74</v>
      </c>
      <c r="C27" s="13" t="s">
        <v>50</v>
      </c>
      <c r="D27" s="13" t="s">
        <v>58</v>
      </c>
      <c r="E27" s="13">
        <v>30</v>
      </c>
      <c r="F27" s="13">
        <v>8</v>
      </c>
      <c r="G27" s="16">
        <v>45326</v>
      </c>
    </row>
    <row r="28" spans="1:7" ht="15.75" thickBot="1" x14ac:dyDescent="0.3">
      <c r="A28" s="15">
        <v>1024</v>
      </c>
      <c r="B28" s="13" t="s">
        <v>75</v>
      </c>
      <c r="C28" s="13" t="s">
        <v>53</v>
      </c>
      <c r="D28" s="13" t="s">
        <v>45</v>
      </c>
      <c r="E28" s="13">
        <v>11</v>
      </c>
      <c r="F28" s="13">
        <v>50</v>
      </c>
      <c r="G28" s="16">
        <v>45328</v>
      </c>
    </row>
    <row r="29" spans="1:7" ht="15.75" thickBot="1" x14ac:dyDescent="0.3">
      <c r="A29" s="15">
        <v>1025</v>
      </c>
      <c r="B29" s="13" t="s">
        <v>76</v>
      </c>
      <c r="C29" s="13" t="s">
        <v>44</v>
      </c>
      <c r="D29" s="13" t="s">
        <v>48</v>
      </c>
      <c r="E29" s="13">
        <v>14</v>
      </c>
      <c r="F29" s="13">
        <v>10</v>
      </c>
      <c r="G29" s="16">
        <v>45329</v>
      </c>
    </row>
    <row r="30" spans="1:7" ht="15.75" thickBot="1" x14ac:dyDescent="0.3">
      <c r="A30" s="15">
        <v>1026</v>
      </c>
      <c r="B30" s="13" t="s">
        <v>77</v>
      </c>
      <c r="C30" s="13" t="s">
        <v>47</v>
      </c>
      <c r="D30" s="13" t="s">
        <v>51</v>
      </c>
      <c r="E30" s="13">
        <v>16</v>
      </c>
      <c r="F30" s="13">
        <v>25</v>
      </c>
      <c r="G30" s="16">
        <v>45330</v>
      </c>
    </row>
    <row r="31" spans="1:7" ht="15.75" thickBot="1" x14ac:dyDescent="0.3">
      <c r="A31" s="15">
        <v>1027</v>
      </c>
      <c r="B31" s="13" t="s">
        <v>78</v>
      </c>
      <c r="C31" s="13" t="s">
        <v>50</v>
      </c>
      <c r="D31" s="13" t="s">
        <v>55</v>
      </c>
      <c r="E31" s="13">
        <v>22</v>
      </c>
      <c r="F31" s="13">
        <v>5</v>
      </c>
      <c r="G31" s="16">
        <v>45331</v>
      </c>
    </row>
    <row r="32" spans="1:7" ht="15.75" thickBot="1" x14ac:dyDescent="0.3">
      <c r="A32" s="15">
        <v>1028</v>
      </c>
      <c r="B32" s="13" t="s">
        <v>79</v>
      </c>
      <c r="C32" s="13" t="s">
        <v>53</v>
      </c>
      <c r="D32" s="13" t="s">
        <v>58</v>
      </c>
      <c r="E32" s="13">
        <v>27</v>
      </c>
      <c r="F32" s="13">
        <v>8</v>
      </c>
      <c r="G32" s="16">
        <v>45332</v>
      </c>
    </row>
    <row r="33" spans="1:7" ht="15.75" thickBot="1" x14ac:dyDescent="0.3">
      <c r="A33" s="15">
        <v>1029</v>
      </c>
      <c r="B33" s="13" t="s">
        <v>80</v>
      </c>
      <c r="C33" s="13" t="s">
        <v>44</v>
      </c>
      <c r="D33" s="13" t="s">
        <v>45</v>
      </c>
      <c r="E33" s="13">
        <v>13</v>
      </c>
      <c r="F33" s="13">
        <v>50</v>
      </c>
      <c r="G33" s="16">
        <v>45334</v>
      </c>
    </row>
    <row r="34" spans="1:7" ht="15.75" thickBot="1" x14ac:dyDescent="0.3">
      <c r="A34" s="15">
        <v>1030</v>
      </c>
      <c r="B34" s="13" t="s">
        <v>81</v>
      </c>
      <c r="C34" s="13" t="s">
        <v>47</v>
      </c>
      <c r="D34" s="13" t="s">
        <v>48</v>
      </c>
      <c r="E34" s="13">
        <v>32</v>
      </c>
      <c r="F34" s="13">
        <v>10</v>
      </c>
      <c r="G34" s="16">
        <v>45335</v>
      </c>
    </row>
    <row r="35" spans="1:7" ht="15.75" thickBot="1" x14ac:dyDescent="0.3">
      <c r="A35" s="15">
        <v>1031</v>
      </c>
      <c r="B35" s="13" t="s">
        <v>82</v>
      </c>
      <c r="C35" s="13" t="s">
        <v>50</v>
      </c>
      <c r="D35" s="13" t="s">
        <v>51</v>
      </c>
      <c r="E35" s="13">
        <v>10</v>
      </c>
      <c r="F35" s="13">
        <v>25</v>
      </c>
      <c r="G35" s="16">
        <v>45336</v>
      </c>
    </row>
    <row r="36" spans="1:7" ht="15.75" thickBot="1" x14ac:dyDescent="0.3">
      <c r="A36" s="15">
        <v>1032</v>
      </c>
      <c r="B36" s="13" t="s">
        <v>83</v>
      </c>
      <c r="C36" s="13" t="s">
        <v>53</v>
      </c>
      <c r="D36" s="13" t="s">
        <v>55</v>
      </c>
      <c r="E36" s="13">
        <v>18</v>
      </c>
      <c r="F36" s="13">
        <v>5</v>
      </c>
      <c r="G36" s="16">
        <v>45338</v>
      </c>
    </row>
    <row r="37" spans="1:7" ht="15.75" thickBot="1" x14ac:dyDescent="0.3">
      <c r="A37" s="15">
        <v>1033</v>
      </c>
      <c r="B37" s="13" t="s">
        <v>84</v>
      </c>
      <c r="C37" s="13" t="s">
        <v>44</v>
      </c>
      <c r="D37" s="13" t="s">
        <v>58</v>
      </c>
      <c r="E37" s="13">
        <v>22</v>
      </c>
      <c r="F37" s="13">
        <v>8</v>
      </c>
      <c r="G37" s="16">
        <v>45339</v>
      </c>
    </row>
    <row r="38" spans="1:7" ht="15.75" thickBot="1" x14ac:dyDescent="0.3">
      <c r="A38" s="15">
        <v>1034</v>
      </c>
      <c r="B38" s="13" t="s">
        <v>85</v>
      </c>
      <c r="C38" s="13" t="s">
        <v>47</v>
      </c>
      <c r="D38" s="13" t="s">
        <v>45</v>
      </c>
      <c r="E38" s="13">
        <v>17</v>
      </c>
      <c r="F38" s="13">
        <v>50</v>
      </c>
      <c r="G38" s="16">
        <v>45340</v>
      </c>
    </row>
    <row r="39" spans="1:7" ht="15.75" thickBot="1" x14ac:dyDescent="0.3">
      <c r="A39" s="15">
        <v>1035</v>
      </c>
      <c r="B39" s="13" t="s">
        <v>86</v>
      </c>
      <c r="C39" s="13" t="s">
        <v>50</v>
      </c>
      <c r="D39" s="13" t="s">
        <v>48</v>
      </c>
      <c r="E39" s="13">
        <v>19</v>
      </c>
      <c r="F39" s="13">
        <v>10</v>
      </c>
      <c r="G39" s="16">
        <v>45341</v>
      </c>
    </row>
    <row r="40" spans="1:7" ht="15.75" thickBot="1" x14ac:dyDescent="0.3">
      <c r="A40" s="15">
        <v>1036</v>
      </c>
      <c r="B40" s="13" t="s">
        <v>87</v>
      </c>
      <c r="C40" s="13" t="s">
        <v>53</v>
      </c>
      <c r="D40" s="13" t="s">
        <v>51</v>
      </c>
      <c r="E40" s="13">
        <v>15</v>
      </c>
      <c r="F40" s="13">
        <v>25</v>
      </c>
      <c r="G40" s="16">
        <v>45343</v>
      </c>
    </row>
    <row r="41" spans="1:7" ht="15.75" thickBot="1" x14ac:dyDescent="0.3">
      <c r="A41" s="15">
        <v>1037</v>
      </c>
      <c r="B41" s="13" t="s">
        <v>88</v>
      </c>
      <c r="C41" s="13" t="s">
        <v>44</v>
      </c>
      <c r="D41" s="13" t="s">
        <v>55</v>
      </c>
      <c r="E41" s="13">
        <v>28</v>
      </c>
      <c r="F41" s="13">
        <v>5</v>
      </c>
      <c r="G41" s="16">
        <v>45344</v>
      </c>
    </row>
    <row r="42" spans="1:7" ht="15.75" thickBot="1" x14ac:dyDescent="0.3">
      <c r="A42" s="15">
        <v>1038</v>
      </c>
      <c r="B42" s="13" t="s">
        <v>89</v>
      </c>
      <c r="C42" s="13" t="s">
        <v>47</v>
      </c>
      <c r="D42" s="13" t="s">
        <v>58</v>
      </c>
      <c r="E42" s="13">
        <v>24</v>
      </c>
      <c r="F42" s="13">
        <v>8</v>
      </c>
      <c r="G42" s="16">
        <v>45345</v>
      </c>
    </row>
    <row r="43" spans="1:7" ht="15.75" thickBot="1" x14ac:dyDescent="0.3">
      <c r="A43" s="15">
        <v>1039</v>
      </c>
      <c r="B43" s="13" t="s">
        <v>90</v>
      </c>
      <c r="C43" s="13" t="s">
        <v>50</v>
      </c>
      <c r="D43" s="13" t="s">
        <v>45</v>
      </c>
      <c r="E43" s="13">
        <v>16</v>
      </c>
      <c r="F43" s="13">
        <v>50</v>
      </c>
      <c r="G43" s="16">
        <v>45347</v>
      </c>
    </row>
    <row r="44" spans="1:7" ht="15.75" thickBot="1" x14ac:dyDescent="0.3">
      <c r="A44" s="15">
        <v>1040</v>
      </c>
      <c r="B44" s="13" t="s">
        <v>91</v>
      </c>
      <c r="C44" s="13" t="s">
        <v>53</v>
      </c>
      <c r="D44" s="13" t="s">
        <v>48</v>
      </c>
      <c r="E44" s="13">
        <v>27</v>
      </c>
      <c r="F44" s="13">
        <v>10</v>
      </c>
      <c r="G44" s="16">
        <v>45348</v>
      </c>
    </row>
    <row r="45" spans="1:7" ht="15.75" thickBot="1" x14ac:dyDescent="0.3">
      <c r="A45" s="15">
        <v>1041</v>
      </c>
      <c r="B45" s="13" t="s">
        <v>92</v>
      </c>
      <c r="C45" s="13" t="s">
        <v>44</v>
      </c>
      <c r="D45" s="13" t="s">
        <v>51</v>
      </c>
      <c r="E45" s="13">
        <v>21</v>
      </c>
      <c r="F45" s="13">
        <v>25</v>
      </c>
      <c r="G45" s="16">
        <v>45349</v>
      </c>
    </row>
    <row r="46" spans="1:7" ht="15.75" thickBot="1" x14ac:dyDescent="0.3">
      <c r="A46" s="15">
        <v>1042</v>
      </c>
      <c r="B46" s="13" t="s">
        <v>93</v>
      </c>
      <c r="C46" s="13" t="s">
        <v>47</v>
      </c>
      <c r="D46" s="13" t="s">
        <v>55</v>
      </c>
      <c r="E46" s="13">
        <v>30</v>
      </c>
      <c r="F46" s="13">
        <v>5</v>
      </c>
      <c r="G46" s="16">
        <v>45350</v>
      </c>
    </row>
    <row r="47" spans="1:7" ht="15.75" thickBot="1" x14ac:dyDescent="0.3">
      <c r="A47" s="15">
        <v>1043</v>
      </c>
      <c r="B47" s="13" t="s">
        <v>94</v>
      </c>
      <c r="C47" s="13" t="s">
        <v>50</v>
      </c>
      <c r="D47" s="13" t="s">
        <v>58</v>
      </c>
      <c r="E47" s="13">
        <v>26</v>
      </c>
      <c r="F47" s="13">
        <v>8</v>
      </c>
      <c r="G47" s="16">
        <v>45352</v>
      </c>
    </row>
    <row r="48" spans="1:7" ht="15.75" thickBot="1" x14ac:dyDescent="0.3">
      <c r="A48" s="15">
        <v>1044</v>
      </c>
      <c r="B48" s="13" t="s">
        <v>95</v>
      </c>
      <c r="C48" s="13" t="s">
        <v>53</v>
      </c>
      <c r="D48" s="13" t="s">
        <v>45</v>
      </c>
      <c r="E48" s="13">
        <v>14</v>
      </c>
      <c r="F48" s="13">
        <v>50</v>
      </c>
      <c r="G48" s="16">
        <v>45353</v>
      </c>
    </row>
    <row r="49" spans="1:7" ht="15.75" thickBot="1" x14ac:dyDescent="0.3">
      <c r="A49" s="15">
        <v>1045</v>
      </c>
      <c r="B49" s="13" t="s">
        <v>96</v>
      </c>
      <c r="C49" s="13" t="s">
        <v>44</v>
      </c>
      <c r="D49" s="13" t="s">
        <v>48</v>
      </c>
      <c r="E49" s="13">
        <v>20</v>
      </c>
      <c r="F49" s="13">
        <v>10</v>
      </c>
      <c r="G49" s="16">
        <v>45354</v>
      </c>
    </row>
    <row r="50" spans="1:7" ht="15.75" thickBot="1" x14ac:dyDescent="0.3">
      <c r="A50" s="15">
        <v>1046</v>
      </c>
      <c r="B50" s="13" t="s">
        <v>97</v>
      </c>
      <c r="C50" s="13" t="s">
        <v>47</v>
      </c>
      <c r="D50" s="13" t="s">
        <v>51</v>
      </c>
      <c r="E50" s="13">
        <v>17</v>
      </c>
      <c r="F50" s="13">
        <v>25</v>
      </c>
      <c r="G50" s="16">
        <v>45355</v>
      </c>
    </row>
    <row r="51" spans="1:7" ht="15.75" thickBot="1" x14ac:dyDescent="0.3">
      <c r="A51" s="15">
        <v>1047</v>
      </c>
      <c r="B51" s="13" t="s">
        <v>98</v>
      </c>
      <c r="C51" s="13" t="s">
        <v>50</v>
      </c>
      <c r="D51" s="13" t="s">
        <v>55</v>
      </c>
      <c r="E51" s="13">
        <v>19</v>
      </c>
      <c r="F51" s="13">
        <v>5</v>
      </c>
      <c r="G51" s="16">
        <v>45356</v>
      </c>
    </row>
    <row r="52" spans="1:7" ht="15.75" thickBot="1" x14ac:dyDescent="0.3">
      <c r="A52" s="15">
        <v>1048</v>
      </c>
      <c r="B52" s="13" t="s">
        <v>99</v>
      </c>
      <c r="C52" s="13" t="s">
        <v>53</v>
      </c>
      <c r="D52" s="13" t="s">
        <v>58</v>
      </c>
      <c r="E52" s="13">
        <v>32</v>
      </c>
      <c r="F52" s="13">
        <v>8</v>
      </c>
      <c r="G52" s="16">
        <v>45357</v>
      </c>
    </row>
    <row r="53" spans="1:7" ht="15.75" thickBot="1" x14ac:dyDescent="0.3">
      <c r="A53" s="15">
        <v>1049</v>
      </c>
      <c r="B53" s="13" t="s">
        <v>100</v>
      </c>
      <c r="C53" s="13" t="s">
        <v>44</v>
      </c>
      <c r="D53" s="13" t="s">
        <v>45</v>
      </c>
      <c r="E53" s="13">
        <v>12</v>
      </c>
      <c r="F53" s="13">
        <v>50</v>
      </c>
      <c r="G53" s="16">
        <v>45358</v>
      </c>
    </row>
    <row r="54" spans="1:7" ht="15.75" thickBot="1" x14ac:dyDescent="0.3">
      <c r="A54" s="20">
        <v>1050</v>
      </c>
      <c r="B54" s="21" t="s">
        <v>101</v>
      </c>
      <c r="C54" s="21" t="s">
        <v>47</v>
      </c>
      <c r="D54" s="21" t="s">
        <v>48</v>
      </c>
      <c r="E54" s="21">
        <v>25</v>
      </c>
      <c r="F54" s="21">
        <v>10</v>
      </c>
      <c r="G54" s="22">
        <v>45359</v>
      </c>
    </row>
    <row r="55" spans="1:7" ht="15.75" thickBot="1" x14ac:dyDescent="0.3">
      <c r="A55" s="14"/>
      <c r="B55" s="14"/>
      <c r="C55" s="14"/>
      <c r="D55" s="14"/>
      <c r="E55" s="14"/>
      <c r="F55" s="14"/>
      <c r="G55" s="14"/>
    </row>
    <row r="56" spans="1:7" ht="15.75" thickBot="1" x14ac:dyDescent="0.3">
      <c r="A56" s="14"/>
      <c r="B56" s="14"/>
      <c r="C56" s="14"/>
      <c r="D56" s="14"/>
      <c r="E56" s="14"/>
      <c r="F56" s="14"/>
      <c r="G56" s="14"/>
    </row>
    <row r="57" spans="1:7" ht="15.75" thickBot="1" x14ac:dyDescent="0.3">
      <c r="A57" s="14"/>
      <c r="B57" s="14"/>
      <c r="C57" s="14"/>
      <c r="D57" s="14"/>
      <c r="E57" s="14"/>
      <c r="F57" s="14"/>
      <c r="G57" s="14"/>
    </row>
    <row r="58" spans="1:7" ht="15.75" thickBot="1" x14ac:dyDescent="0.3">
      <c r="A58" s="14"/>
      <c r="B58" s="14"/>
      <c r="C58" s="14"/>
      <c r="D58" s="14"/>
      <c r="E58" s="14"/>
      <c r="F58" s="14"/>
      <c r="G58" s="14"/>
    </row>
    <row r="59" spans="1:7" ht="15.75" thickBot="1" x14ac:dyDescent="0.3">
      <c r="A59" s="14"/>
      <c r="B59" s="14"/>
      <c r="C59" s="14"/>
      <c r="D59" s="14"/>
      <c r="E59" s="14"/>
      <c r="F59" s="14"/>
      <c r="G59" s="14"/>
    </row>
    <row r="60" spans="1:7" ht="15.75" thickBot="1" x14ac:dyDescent="0.3">
      <c r="A60" s="14"/>
      <c r="B60" s="14"/>
      <c r="C60" s="14"/>
      <c r="D60" s="14"/>
      <c r="E60" s="14"/>
      <c r="F60" s="14"/>
      <c r="G60" s="14"/>
    </row>
    <row r="61" spans="1:7" ht="15.75" thickBot="1" x14ac:dyDescent="0.3">
      <c r="A61" s="14"/>
      <c r="B61" s="14"/>
      <c r="C61" s="14"/>
      <c r="D61" s="14"/>
      <c r="E61" s="14"/>
      <c r="F61" s="14"/>
      <c r="G61" s="14"/>
    </row>
    <row r="62" spans="1:7" ht="15.75" thickBot="1" x14ac:dyDescent="0.3">
      <c r="A62" s="14"/>
      <c r="B62" s="14"/>
      <c r="C62" s="14"/>
      <c r="D62" s="14"/>
      <c r="E62" s="14"/>
      <c r="F62" s="14"/>
      <c r="G62" s="14"/>
    </row>
    <row r="63" spans="1:7" ht="15.75" thickBot="1" x14ac:dyDescent="0.3">
      <c r="A63" s="14"/>
      <c r="B63" s="14"/>
      <c r="C63" s="14"/>
      <c r="D63" s="14"/>
      <c r="E63" s="14"/>
      <c r="F63" s="14"/>
      <c r="G63" s="14"/>
    </row>
    <row r="64" spans="1:7" ht="15.75" thickBot="1" x14ac:dyDescent="0.3">
      <c r="A64" s="14"/>
      <c r="B64" s="14"/>
      <c r="C64" s="14"/>
      <c r="D64" s="14"/>
      <c r="E64" s="14"/>
      <c r="F64" s="14"/>
      <c r="G64" s="14"/>
    </row>
    <row r="65" spans="1:7" ht="15.75" thickBot="1" x14ac:dyDescent="0.3">
      <c r="A65" s="14"/>
      <c r="B65" s="14"/>
      <c r="C65" s="14"/>
      <c r="D65" s="14"/>
      <c r="E65" s="14"/>
      <c r="F65" s="14"/>
      <c r="G65" s="14"/>
    </row>
    <row r="66" spans="1:7" ht="15.75" thickBot="1" x14ac:dyDescent="0.3">
      <c r="A66" s="12"/>
      <c r="B66" s="12"/>
      <c r="C66" s="12"/>
      <c r="D66" s="12"/>
      <c r="E66" s="12"/>
      <c r="F66" s="12"/>
      <c r="G66" s="12"/>
    </row>
    <row r="67" spans="1:7" ht="15.75" thickBot="1" x14ac:dyDescent="0.3">
      <c r="A67" s="12"/>
      <c r="B67" s="12"/>
      <c r="C67" s="12"/>
      <c r="D67" s="12"/>
      <c r="E67" s="12"/>
      <c r="F67" s="12"/>
      <c r="G67" s="12"/>
    </row>
    <row r="68" spans="1:7" ht="15.75" thickBot="1" x14ac:dyDescent="0.3">
      <c r="A68" s="12"/>
      <c r="B68" s="12"/>
      <c r="C68" s="12"/>
      <c r="D68" s="12"/>
      <c r="E68" s="12"/>
      <c r="F68" s="12"/>
      <c r="G68" s="12"/>
    </row>
    <row r="69" spans="1:7" ht="15.75" thickBot="1" x14ac:dyDescent="0.3">
      <c r="A69" s="12"/>
      <c r="B69" s="12"/>
      <c r="C69" s="12"/>
      <c r="D69" s="12"/>
      <c r="E69" s="12"/>
      <c r="F69" s="12"/>
      <c r="G69" s="12"/>
    </row>
    <row r="70" spans="1:7" ht="15.75" thickBot="1" x14ac:dyDescent="0.3">
      <c r="A70" s="12"/>
      <c r="B70" s="12"/>
      <c r="C70" s="12"/>
      <c r="D70" s="12"/>
      <c r="E70" s="12"/>
      <c r="F70" s="12"/>
      <c r="G70" s="12"/>
    </row>
    <row r="71" spans="1:7" ht="15.75" thickBot="1" x14ac:dyDescent="0.3">
      <c r="A71" s="12"/>
      <c r="B71" s="12"/>
      <c r="C71" s="12"/>
      <c r="D71" s="12"/>
      <c r="E71" s="12"/>
      <c r="F71" s="12"/>
      <c r="G71" s="12"/>
    </row>
    <row r="72" spans="1:7" ht="15.75" thickBot="1" x14ac:dyDescent="0.3">
      <c r="A72" s="12"/>
      <c r="B72" s="12"/>
      <c r="C72" s="12"/>
      <c r="D72" s="12"/>
      <c r="E72" s="12"/>
      <c r="F72" s="12"/>
      <c r="G72" s="12"/>
    </row>
    <row r="73" spans="1:7" ht="15.75" thickBot="1" x14ac:dyDescent="0.3">
      <c r="A73" s="12"/>
      <c r="B73" s="12"/>
      <c r="C73" s="12"/>
      <c r="D73" s="12"/>
      <c r="E73" s="12"/>
      <c r="F73" s="12"/>
      <c r="G73" s="12"/>
    </row>
    <row r="74" spans="1:7" ht="15.75" thickBot="1" x14ac:dyDescent="0.3">
      <c r="A74" s="12"/>
      <c r="B74" s="12"/>
      <c r="C74" s="12"/>
      <c r="D74" s="12"/>
      <c r="E74" s="12"/>
      <c r="F74" s="12"/>
      <c r="G74" s="12"/>
    </row>
    <row r="75" spans="1:7" ht="15.75" thickBot="1" x14ac:dyDescent="0.3">
      <c r="A75" s="12"/>
      <c r="B75" s="12"/>
      <c r="C75" s="12"/>
      <c r="D75" s="12"/>
      <c r="E75" s="12"/>
      <c r="F75" s="12"/>
      <c r="G75" s="12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"/>
  <sheetViews>
    <sheetView workbookViewId="0">
      <selection activeCell="I6" sqref="I6"/>
    </sheetView>
  </sheetViews>
  <sheetFormatPr defaultRowHeight="15" x14ac:dyDescent="0.25"/>
  <cols>
    <col min="2" max="2" width="13.42578125" bestFit="1" customWidth="1"/>
    <col min="4" max="4" width="12.42578125" bestFit="1" customWidth="1"/>
    <col min="6" max="6" width="12.7109375" bestFit="1" customWidth="1"/>
    <col min="7" max="7" width="13.7109375" bestFit="1" customWidth="1"/>
    <col min="9" max="9" width="16" bestFit="1" customWidth="1"/>
  </cols>
  <sheetData>
    <row r="1" spans="1:9" x14ac:dyDescent="0.25">
      <c r="A1" t="s">
        <v>102</v>
      </c>
    </row>
    <row r="2" spans="1:9" x14ac:dyDescent="0.25">
      <c r="A2" t="s">
        <v>103</v>
      </c>
    </row>
    <row r="3" spans="1:9" x14ac:dyDescent="0.25">
      <c r="H3" t="s">
        <v>104</v>
      </c>
    </row>
    <row r="4" spans="1:9" ht="31.5" thickBot="1" x14ac:dyDescent="0.35">
      <c r="A4" s="17" t="s">
        <v>36</v>
      </c>
      <c r="B4" s="18" t="s">
        <v>37</v>
      </c>
      <c r="C4" s="18" t="s">
        <v>38</v>
      </c>
      <c r="D4" s="18" t="s">
        <v>39</v>
      </c>
      <c r="E4" s="18" t="s">
        <v>40</v>
      </c>
      <c r="F4" s="18" t="s">
        <v>41</v>
      </c>
      <c r="G4" s="19" t="s">
        <v>42</v>
      </c>
      <c r="I4" s="24" t="s">
        <v>107</v>
      </c>
    </row>
    <row r="5" spans="1:9" ht="30.75" thickBot="1" x14ac:dyDescent="0.3">
      <c r="A5" s="15">
        <v>1001</v>
      </c>
      <c r="B5" s="13" t="s">
        <v>43</v>
      </c>
      <c r="C5" s="13" t="s">
        <v>44</v>
      </c>
      <c r="D5" s="13" t="s">
        <v>45</v>
      </c>
      <c r="E5" s="13">
        <v>10</v>
      </c>
      <c r="F5" s="13">
        <v>50</v>
      </c>
      <c r="G5" s="16">
        <v>45296</v>
      </c>
      <c r="I5" s="23">
        <f>SUMPRODUCT(Table46[[#This Row],[Quantity]]*Table46[[#This Row],[UnitPrice]])</f>
        <v>500</v>
      </c>
    </row>
    <row r="6" spans="1:9" ht="30.75" thickBot="1" x14ac:dyDescent="0.3">
      <c r="A6" s="15">
        <v>1002</v>
      </c>
      <c r="B6" s="13" t="s">
        <v>46</v>
      </c>
      <c r="C6" s="13" t="s">
        <v>47</v>
      </c>
      <c r="D6" s="13" t="s">
        <v>48</v>
      </c>
      <c r="E6" s="13">
        <v>20</v>
      </c>
      <c r="F6" s="13">
        <v>10</v>
      </c>
      <c r="G6" s="16">
        <v>45297</v>
      </c>
      <c r="I6" s="23">
        <f>SUMPRODUCT(Table46[[#This Row],[Quantity]]*Table46[[#This Row],[UnitPrice]])</f>
        <v>200</v>
      </c>
    </row>
    <row r="7" spans="1:9" ht="30.75" thickBot="1" x14ac:dyDescent="0.3">
      <c r="A7" s="15">
        <v>1003</v>
      </c>
      <c r="B7" s="13" t="s">
        <v>49</v>
      </c>
      <c r="C7" s="13" t="s">
        <v>50</v>
      </c>
      <c r="D7" s="13" t="s">
        <v>51</v>
      </c>
      <c r="E7" s="13">
        <v>15</v>
      </c>
      <c r="F7" s="13">
        <v>25</v>
      </c>
      <c r="G7" s="16">
        <v>45298</v>
      </c>
      <c r="I7" s="23">
        <f>SUMPRODUCT(Table46[[#This Row],[Quantity]]*Table46[[#This Row],[UnitPrice]])</f>
        <v>375</v>
      </c>
    </row>
    <row r="8" spans="1:9" ht="30.75" thickBot="1" x14ac:dyDescent="0.3">
      <c r="A8" s="15">
        <v>1004</v>
      </c>
      <c r="B8" s="13" t="s">
        <v>52</v>
      </c>
      <c r="C8" s="13" t="s">
        <v>53</v>
      </c>
      <c r="D8" s="13" t="s">
        <v>45</v>
      </c>
      <c r="E8" s="13">
        <v>5</v>
      </c>
      <c r="F8" s="13">
        <v>50</v>
      </c>
      <c r="G8" s="16">
        <v>45299</v>
      </c>
      <c r="I8" s="23">
        <f>SUMPRODUCT(Table46[[#This Row],[Quantity]]*Table46[[#This Row],[UnitPrice]])</f>
        <v>250</v>
      </c>
    </row>
    <row r="9" spans="1:9" ht="30.75" thickBot="1" x14ac:dyDescent="0.3">
      <c r="A9" s="15">
        <v>1005</v>
      </c>
      <c r="B9" s="13" t="s">
        <v>54</v>
      </c>
      <c r="C9" s="13" t="s">
        <v>44</v>
      </c>
      <c r="D9" s="13" t="s">
        <v>55</v>
      </c>
      <c r="E9" s="13">
        <v>30</v>
      </c>
      <c r="F9" s="13">
        <v>5</v>
      </c>
      <c r="G9" s="16">
        <v>45301</v>
      </c>
      <c r="I9" s="23">
        <f>SUMPRODUCT(Table46[[#This Row],[Quantity]]*Table46[[#This Row],[UnitPrice]])</f>
        <v>150</v>
      </c>
    </row>
    <row r="10" spans="1:9" ht="30.75" thickBot="1" x14ac:dyDescent="0.3">
      <c r="A10" s="15">
        <v>1006</v>
      </c>
      <c r="B10" s="13" t="s">
        <v>56</v>
      </c>
      <c r="C10" s="13" t="s">
        <v>47</v>
      </c>
      <c r="D10" s="13" t="s">
        <v>45</v>
      </c>
      <c r="E10" s="13">
        <v>12</v>
      </c>
      <c r="F10" s="13">
        <v>50</v>
      </c>
      <c r="G10" s="16">
        <v>45302</v>
      </c>
      <c r="I10" s="23">
        <f>SUMPRODUCT(Table46[[#This Row],[Quantity]]*Table46[[#This Row],[UnitPrice]])</f>
        <v>600</v>
      </c>
    </row>
    <row r="11" spans="1:9" ht="30.75" thickBot="1" x14ac:dyDescent="0.3">
      <c r="A11" s="15">
        <v>1007</v>
      </c>
      <c r="B11" s="13" t="s">
        <v>57</v>
      </c>
      <c r="C11" s="13" t="s">
        <v>50</v>
      </c>
      <c r="D11" s="13" t="s">
        <v>58</v>
      </c>
      <c r="E11" s="13">
        <v>25</v>
      </c>
      <c r="F11" s="13">
        <v>8</v>
      </c>
      <c r="G11" s="16">
        <v>45304</v>
      </c>
      <c r="I11" s="23">
        <f>SUMPRODUCT(Table46[[#This Row],[Quantity]]*Table46[[#This Row],[UnitPrice]])</f>
        <v>200</v>
      </c>
    </row>
    <row r="12" spans="1:9" ht="30.75" thickBot="1" x14ac:dyDescent="0.3">
      <c r="A12" s="15">
        <v>1008</v>
      </c>
      <c r="B12" s="13" t="s">
        <v>59</v>
      </c>
      <c r="C12" s="13" t="s">
        <v>53</v>
      </c>
      <c r="D12" s="13" t="s">
        <v>48</v>
      </c>
      <c r="E12" s="13">
        <v>18</v>
      </c>
      <c r="F12" s="13">
        <v>10</v>
      </c>
      <c r="G12" s="16">
        <v>45306</v>
      </c>
      <c r="I12" s="23">
        <f>SUMPRODUCT(Table46[[#This Row],[Quantity]]*Table46[[#This Row],[UnitPrice]])</f>
        <v>180</v>
      </c>
    </row>
    <row r="13" spans="1:9" ht="30.75" thickBot="1" x14ac:dyDescent="0.3">
      <c r="A13" s="15">
        <v>1009</v>
      </c>
      <c r="B13" s="13" t="s">
        <v>60</v>
      </c>
      <c r="C13" s="13" t="s">
        <v>44</v>
      </c>
      <c r="D13" s="13" t="s">
        <v>51</v>
      </c>
      <c r="E13" s="13">
        <v>22</v>
      </c>
      <c r="F13" s="13">
        <v>25</v>
      </c>
      <c r="G13" s="16">
        <v>45308</v>
      </c>
      <c r="I13" s="23">
        <f>SUMPRODUCT(Table46[[#This Row],[Quantity]]*Table46[[#This Row],[UnitPrice]])</f>
        <v>550</v>
      </c>
    </row>
    <row r="14" spans="1:9" ht="15.75" thickBot="1" x14ac:dyDescent="0.3">
      <c r="A14" s="15">
        <v>1010</v>
      </c>
      <c r="B14" s="13" t="s">
        <v>61</v>
      </c>
      <c r="C14" s="13" t="s">
        <v>47</v>
      </c>
      <c r="D14" s="13" t="s">
        <v>45</v>
      </c>
      <c r="E14" s="13">
        <v>8</v>
      </c>
      <c r="F14" s="13">
        <v>50</v>
      </c>
      <c r="G14" s="16">
        <v>45309</v>
      </c>
      <c r="I14" s="23">
        <f>SUMPRODUCT(Table46[[#This Row],[Quantity]]*Table46[[#This Row],[UnitPrice]])</f>
        <v>400</v>
      </c>
    </row>
    <row r="15" spans="1:9" ht="15.75" thickBot="1" x14ac:dyDescent="0.3">
      <c r="A15" s="15">
        <v>1011</v>
      </c>
      <c r="B15" s="13" t="s">
        <v>62</v>
      </c>
      <c r="C15" s="13" t="s">
        <v>50</v>
      </c>
      <c r="D15" s="13" t="s">
        <v>55</v>
      </c>
      <c r="E15" s="13">
        <v>40</v>
      </c>
      <c r="F15" s="13">
        <v>5</v>
      </c>
      <c r="G15" s="16">
        <v>45310</v>
      </c>
      <c r="I15" s="23">
        <f>SUMPRODUCT(Table46[[#This Row],[Quantity]]*Table46[[#This Row],[UnitPrice]])</f>
        <v>200</v>
      </c>
    </row>
    <row r="16" spans="1:9" ht="30.75" thickBot="1" x14ac:dyDescent="0.3">
      <c r="A16" s="15">
        <v>1012</v>
      </c>
      <c r="B16" s="13" t="s">
        <v>63</v>
      </c>
      <c r="C16" s="13" t="s">
        <v>53</v>
      </c>
      <c r="D16" s="13" t="s">
        <v>58</v>
      </c>
      <c r="E16" s="13">
        <v>35</v>
      </c>
      <c r="F16" s="13">
        <v>8</v>
      </c>
      <c r="G16" s="16">
        <v>45311</v>
      </c>
      <c r="I16" s="23">
        <f>SUMPRODUCT(Table46[[#This Row],[Quantity]]*Table46[[#This Row],[UnitPrice]])</f>
        <v>280</v>
      </c>
    </row>
    <row r="17" spans="1:9" ht="15.75" thickBot="1" x14ac:dyDescent="0.3">
      <c r="A17" s="15">
        <v>1013</v>
      </c>
      <c r="B17" s="13" t="s">
        <v>64</v>
      </c>
      <c r="C17" s="13" t="s">
        <v>44</v>
      </c>
      <c r="D17" s="13" t="s">
        <v>45</v>
      </c>
      <c r="E17" s="13">
        <v>14</v>
      </c>
      <c r="F17" s="13">
        <v>50</v>
      </c>
      <c r="G17" s="16">
        <v>45313</v>
      </c>
      <c r="I17" s="23">
        <f>SUMPRODUCT(Table46[[#This Row],[Quantity]]*Table46[[#This Row],[UnitPrice]])</f>
        <v>700</v>
      </c>
    </row>
    <row r="18" spans="1:9" ht="15.75" thickBot="1" x14ac:dyDescent="0.3">
      <c r="A18" s="15">
        <v>1014</v>
      </c>
      <c r="B18" s="13" t="s">
        <v>65</v>
      </c>
      <c r="C18" s="13" t="s">
        <v>47</v>
      </c>
      <c r="D18" s="13" t="s">
        <v>48</v>
      </c>
      <c r="E18" s="13">
        <v>28</v>
      </c>
      <c r="F18" s="13">
        <v>10</v>
      </c>
      <c r="G18" s="16">
        <v>45314</v>
      </c>
      <c r="I18" s="23">
        <f>SUMPRODUCT(Table46[[#This Row],[Quantity]]*Table46[[#This Row],[UnitPrice]])</f>
        <v>280</v>
      </c>
    </row>
    <row r="19" spans="1:9" ht="15.75" thickBot="1" x14ac:dyDescent="0.3">
      <c r="A19" s="15">
        <v>1015</v>
      </c>
      <c r="B19" s="13" t="s">
        <v>66</v>
      </c>
      <c r="C19" s="13" t="s">
        <v>50</v>
      </c>
      <c r="D19" s="13" t="s">
        <v>51</v>
      </c>
      <c r="E19" s="13">
        <v>12</v>
      </c>
      <c r="F19" s="13">
        <v>25</v>
      </c>
      <c r="G19" s="16">
        <v>45315</v>
      </c>
      <c r="I19" s="23">
        <f>SUMPRODUCT(Table46[[#This Row],[Quantity]]*Table46[[#This Row],[UnitPrice]])</f>
        <v>300</v>
      </c>
    </row>
    <row r="20" spans="1:9" ht="15.75" thickBot="1" x14ac:dyDescent="0.3">
      <c r="A20" s="15">
        <v>1016</v>
      </c>
      <c r="B20" s="13" t="s">
        <v>67</v>
      </c>
      <c r="C20" s="13" t="s">
        <v>53</v>
      </c>
      <c r="D20" s="13" t="s">
        <v>55</v>
      </c>
      <c r="E20" s="13">
        <v>25</v>
      </c>
      <c r="F20" s="13">
        <v>5</v>
      </c>
      <c r="G20" s="16">
        <v>45317</v>
      </c>
      <c r="I20" s="23">
        <f>SUMPRODUCT(Table46[[#This Row],[Quantity]]*Table46[[#This Row],[UnitPrice]])</f>
        <v>125</v>
      </c>
    </row>
    <row r="21" spans="1:9" ht="15.75" thickBot="1" x14ac:dyDescent="0.3">
      <c r="A21" s="15">
        <v>1017</v>
      </c>
      <c r="B21" s="13" t="s">
        <v>68</v>
      </c>
      <c r="C21" s="13" t="s">
        <v>44</v>
      </c>
      <c r="D21" s="13" t="s">
        <v>58</v>
      </c>
      <c r="E21" s="13">
        <v>20</v>
      </c>
      <c r="F21" s="13">
        <v>8</v>
      </c>
      <c r="G21" s="16">
        <v>45319</v>
      </c>
      <c r="I21" s="23">
        <f>SUMPRODUCT(Table46[[#This Row],[Quantity]]*Table46[[#This Row],[UnitPrice]])</f>
        <v>160</v>
      </c>
    </row>
    <row r="22" spans="1:9" ht="15.75" thickBot="1" x14ac:dyDescent="0.3">
      <c r="A22" s="15">
        <v>1018</v>
      </c>
      <c r="B22" s="13" t="s">
        <v>69</v>
      </c>
      <c r="C22" s="13" t="s">
        <v>47</v>
      </c>
      <c r="D22" s="13" t="s">
        <v>45</v>
      </c>
      <c r="E22" s="13">
        <v>10</v>
      </c>
      <c r="F22" s="13">
        <v>50</v>
      </c>
      <c r="G22" s="16">
        <v>45320</v>
      </c>
      <c r="I22" s="23">
        <f>SUMPRODUCT(Table46[[#This Row],[Quantity]]*Table46[[#This Row],[UnitPrice]])</f>
        <v>500</v>
      </c>
    </row>
    <row r="23" spans="1:9" ht="15.75" thickBot="1" x14ac:dyDescent="0.3">
      <c r="A23" s="15">
        <v>1019</v>
      </c>
      <c r="B23" s="13" t="s">
        <v>70</v>
      </c>
      <c r="C23" s="13" t="s">
        <v>50</v>
      </c>
      <c r="D23" s="13" t="s">
        <v>48</v>
      </c>
      <c r="E23" s="13">
        <v>15</v>
      </c>
      <c r="F23" s="13">
        <v>10</v>
      </c>
      <c r="G23" s="16">
        <v>45321</v>
      </c>
      <c r="I23" s="23">
        <f>SUMPRODUCT(Table46[[#This Row],[Quantity]]*Table46[[#This Row],[UnitPrice]])</f>
        <v>150</v>
      </c>
    </row>
    <row r="24" spans="1:9" ht="15.75" thickBot="1" x14ac:dyDescent="0.3">
      <c r="A24" s="15">
        <v>1020</v>
      </c>
      <c r="B24" s="13" t="s">
        <v>71</v>
      </c>
      <c r="C24" s="13" t="s">
        <v>53</v>
      </c>
      <c r="D24" s="13" t="s">
        <v>51</v>
      </c>
      <c r="E24" s="13">
        <v>18</v>
      </c>
      <c r="F24" s="13">
        <v>25</v>
      </c>
      <c r="G24" s="16">
        <v>45323</v>
      </c>
      <c r="I24" s="23">
        <f>SUMPRODUCT(Table46[[#This Row],[Quantity]]*Table46[[#This Row],[UnitPrice]])</f>
        <v>450</v>
      </c>
    </row>
    <row r="25" spans="1:9" ht="15.75" thickBot="1" x14ac:dyDescent="0.3">
      <c r="A25" s="15">
        <v>1021</v>
      </c>
      <c r="B25" s="13" t="s">
        <v>72</v>
      </c>
      <c r="C25" s="13" t="s">
        <v>44</v>
      </c>
      <c r="D25" s="13" t="s">
        <v>45</v>
      </c>
      <c r="E25" s="13">
        <v>9</v>
      </c>
      <c r="F25" s="13">
        <v>50</v>
      </c>
      <c r="G25" s="16">
        <v>45324</v>
      </c>
      <c r="I25" s="23">
        <f>SUMPRODUCT(Table46[[#This Row],[Quantity]]*Table46[[#This Row],[UnitPrice]])</f>
        <v>450</v>
      </c>
    </row>
    <row r="26" spans="1:9" ht="15.75" thickBot="1" x14ac:dyDescent="0.3">
      <c r="A26" s="15">
        <v>1022</v>
      </c>
      <c r="B26" s="13" t="s">
        <v>73</v>
      </c>
      <c r="C26" s="13" t="s">
        <v>47</v>
      </c>
      <c r="D26" s="13" t="s">
        <v>55</v>
      </c>
      <c r="E26" s="13">
        <v>35</v>
      </c>
      <c r="F26" s="13">
        <v>5</v>
      </c>
      <c r="G26" s="16">
        <v>45325</v>
      </c>
      <c r="I26" s="23">
        <f>SUMPRODUCT(Table46[[#This Row],[Quantity]]*Table46[[#This Row],[UnitPrice]])</f>
        <v>175</v>
      </c>
    </row>
    <row r="27" spans="1:9" ht="15.75" thickBot="1" x14ac:dyDescent="0.3">
      <c r="A27" s="15">
        <v>1023</v>
      </c>
      <c r="B27" s="13" t="s">
        <v>74</v>
      </c>
      <c r="C27" s="13" t="s">
        <v>50</v>
      </c>
      <c r="D27" s="13" t="s">
        <v>58</v>
      </c>
      <c r="E27" s="13">
        <v>30</v>
      </c>
      <c r="F27" s="13">
        <v>8</v>
      </c>
      <c r="G27" s="16">
        <v>45326</v>
      </c>
      <c r="I27" s="23">
        <f>SUMPRODUCT(Table46[[#This Row],[Quantity]]*Table46[[#This Row],[UnitPrice]])</f>
        <v>240</v>
      </c>
    </row>
    <row r="28" spans="1:9" ht="15.75" thickBot="1" x14ac:dyDescent="0.3">
      <c r="A28" s="15">
        <v>1024</v>
      </c>
      <c r="B28" s="13" t="s">
        <v>75</v>
      </c>
      <c r="C28" s="13" t="s">
        <v>53</v>
      </c>
      <c r="D28" s="13" t="s">
        <v>45</v>
      </c>
      <c r="E28" s="13">
        <v>11</v>
      </c>
      <c r="F28" s="13">
        <v>50</v>
      </c>
      <c r="G28" s="16">
        <v>45328</v>
      </c>
      <c r="I28" s="23">
        <f>SUMPRODUCT(Table46[[#This Row],[Quantity]]*Table46[[#This Row],[UnitPrice]])</f>
        <v>550</v>
      </c>
    </row>
    <row r="29" spans="1:9" ht="15.75" thickBot="1" x14ac:dyDescent="0.3">
      <c r="A29" s="15">
        <v>1025</v>
      </c>
      <c r="B29" s="13" t="s">
        <v>76</v>
      </c>
      <c r="C29" s="13" t="s">
        <v>44</v>
      </c>
      <c r="D29" s="13" t="s">
        <v>48</v>
      </c>
      <c r="E29" s="13">
        <v>14</v>
      </c>
      <c r="F29" s="13">
        <v>10</v>
      </c>
      <c r="G29" s="16">
        <v>45329</v>
      </c>
      <c r="I29" s="23">
        <f>SUMPRODUCT(Table46[[#This Row],[Quantity]]*Table46[[#This Row],[UnitPrice]])</f>
        <v>140</v>
      </c>
    </row>
    <row r="30" spans="1:9" ht="15.75" thickBot="1" x14ac:dyDescent="0.3">
      <c r="A30" s="15">
        <v>1026</v>
      </c>
      <c r="B30" s="13" t="s">
        <v>77</v>
      </c>
      <c r="C30" s="13" t="s">
        <v>47</v>
      </c>
      <c r="D30" s="13" t="s">
        <v>51</v>
      </c>
      <c r="E30" s="13">
        <v>16</v>
      </c>
      <c r="F30" s="13">
        <v>25</v>
      </c>
      <c r="G30" s="16">
        <v>45330</v>
      </c>
      <c r="I30" s="23">
        <f>SUMPRODUCT(Table46[[#This Row],[Quantity]]*Table46[[#This Row],[UnitPrice]])</f>
        <v>400</v>
      </c>
    </row>
    <row r="31" spans="1:9" ht="15.75" thickBot="1" x14ac:dyDescent="0.3">
      <c r="A31" s="15">
        <v>1027</v>
      </c>
      <c r="B31" s="13" t="s">
        <v>78</v>
      </c>
      <c r="C31" s="13" t="s">
        <v>50</v>
      </c>
      <c r="D31" s="13" t="s">
        <v>55</v>
      </c>
      <c r="E31" s="13">
        <v>22</v>
      </c>
      <c r="F31" s="13">
        <v>5</v>
      </c>
      <c r="G31" s="16">
        <v>45331</v>
      </c>
      <c r="I31" s="23">
        <f>SUMPRODUCT(Table46[[#This Row],[Quantity]]*Table46[[#This Row],[UnitPrice]])</f>
        <v>110</v>
      </c>
    </row>
    <row r="32" spans="1:9" ht="15.75" thickBot="1" x14ac:dyDescent="0.3">
      <c r="A32" s="15">
        <v>1028</v>
      </c>
      <c r="B32" s="13" t="s">
        <v>79</v>
      </c>
      <c r="C32" s="13" t="s">
        <v>53</v>
      </c>
      <c r="D32" s="13" t="s">
        <v>58</v>
      </c>
      <c r="E32" s="13">
        <v>27</v>
      </c>
      <c r="F32" s="13">
        <v>8</v>
      </c>
      <c r="G32" s="16">
        <v>45332</v>
      </c>
      <c r="I32" s="23">
        <f>SUMPRODUCT(Table46[[#This Row],[Quantity]]*Table46[[#This Row],[UnitPrice]])</f>
        <v>216</v>
      </c>
    </row>
    <row r="33" spans="1:9" ht="30.75" thickBot="1" x14ac:dyDescent="0.3">
      <c r="A33" s="15">
        <v>1029</v>
      </c>
      <c r="B33" s="13" t="s">
        <v>80</v>
      </c>
      <c r="C33" s="13" t="s">
        <v>44</v>
      </c>
      <c r="D33" s="13" t="s">
        <v>45</v>
      </c>
      <c r="E33" s="13">
        <v>13</v>
      </c>
      <c r="F33" s="13">
        <v>50</v>
      </c>
      <c r="G33" s="16">
        <v>45334</v>
      </c>
      <c r="I33" s="23">
        <f>SUMPRODUCT(Table46[[#This Row],[Quantity]]*Table46[[#This Row],[UnitPrice]])</f>
        <v>650</v>
      </c>
    </row>
    <row r="34" spans="1:9" ht="15.75" thickBot="1" x14ac:dyDescent="0.3">
      <c r="A34" s="15">
        <v>1030</v>
      </c>
      <c r="B34" s="13" t="s">
        <v>81</v>
      </c>
      <c r="C34" s="13" t="s">
        <v>47</v>
      </c>
      <c r="D34" s="13" t="s">
        <v>48</v>
      </c>
      <c r="E34" s="13">
        <v>32</v>
      </c>
      <c r="F34" s="13">
        <v>10</v>
      </c>
      <c r="G34" s="16">
        <v>45335</v>
      </c>
      <c r="I34" s="23">
        <f>SUMPRODUCT(Table46[[#This Row],[Quantity]]*Table46[[#This Row],[UnitPrice]])</f>
        <v>320</v>
      </c>
    </row>
    <row r="35" spans="1:9" ht="15.75" thickBot="1" x14ac:dyDescent="0.3">
      <c r="A35" s="15">
        <v>1031</v>
      </c>
      <c r="B35" s="13" t="s">
        <v>82</v>
      </c>
      <c r="C35" s="13" t="s">
        <v>50</v>
      </c>
      <c r="D35" s="13" t="s">
        <v>51</v>
      </c>
      <c r="E35" s="13">
        <v>10</v>
      </c>
      <c r="F35" s="13">
        <v>25</v>
      </c>
      <c r="G35" s="16">
        <v>45336</v>
      </c>
      <c r="I35" s="23">
        <f>SUMPRODUCT(Table46[[#This Row],[Quantity]]*Table46[[#This Row],[UnitPrice]])</f>
        <v>250</v>
      </c>
    </row>
    <row r="36" spans="1:9" ht="15.75" thickBot="1" x14ac:dyDescent="0.3">
      <c r="A36" s="15">
        <v>1032</v>
      </c>
      <c r="B36" s="13" t="s">
        <v>83</v>
      </c>
      <c r="C36" s="13" t="s">
        <v>53</v>
      </c>
      <c r="D36" s="13" t="s">
        <v>55</v>
      </c>
      <c r="E36" s="13">
        <v>18</v>
      </c>
      <c r="F36" s="13">
        <v>5</v>
      </c>
      <c r="G36" s="16">
        <v>45338</v>
      </c>
      <c r="I36" s="23">
        <f>SUMPRODUCT(Table46[[#This Row],[Quantity]]*Table46[[#This Row],[UnitPrice]])</f>
        <v>90</v>
      </c>
    </row>
    <row r="37" spans="1:9" ht="15.75" thickBot="1" x14ac:dyDescent="0.3">
      <c r="A37" s="15">
        <v>1033</v>
      </c>
      <c r="B37" s="13" t="s">
        <v>84</v>
      </c>
      <c r="C37" s="13" t="s">
        <v>44</v>
      </c>
      <c r="D37" s="13" t="s">
        <v>58</v>
      </c>
      <c r="E37" s="13">
        <v>22</v>
      </c>
      <c r="F37" s="13">
        <v>8</v>
      </c>
      <c r="G37" s="16">
        <v>45339</v>
      </c>
      <c r="I37" s="23">
        <f>SUMPRODUCT(Table46[[#This Row],[Quantity]]*Table46[[#This Row],[UnitPrice]])</f>
        <v>176</v>
      </c>
    </row>
    <row r="38" spans="1:9" ht="15.75" thickBot="1" x14ac:dyDescent="0.3">
      <c r="A38" s="15">
        <v>1034</v>
      </c>
      <c r="B38" s="13" t="s">
        <v>85</v>
      </c>
      <c r="C38" s="13" t="s">
        <v>47</v>
      </c>
      <c r="D38" s="13" t="s">
        <v>45</v>
      </c>
      <c r="E38" s="13">
        <v>17</v>
      </c>
      <c r="F38" s="13">
        <v>50</v>
      </c>
      <c r="G38" s="16">
        <v>45340</v>
      </c>
      <c r="I38" s="23">
        <f>SUMPRODUCT(Table46[[#This Row],[Quantity]]*Table46[[#This Row],[UnitPrice]])</f>
        <v>850</v>
      </c>
    </row>
    <row r="39" spans="1:9" ht="15.75" thickBot="1" x14ac:dyDescent="0.3">
      <c r="A39" s="15">
        <v>1035</v>
      </c>
      <c r="B39" s="13" t="s">
        <v>86</v>
      </c>
      <c r="C39" s="13" t="s">
        <v>50</v>
      </c>
      <c r="D39" s="13" t="s">
        <v>48</v>
      </c>
      <c r="E39" s="13">
        <v>19</v>
      </c>
      <c r="F39" s="13">
        <v>10</v>
      </c>
      <c r="G39" s="16">
        <v>45341</v>
      </c>
      <c r="I39" s="23">
        <f>SUMPRODUCT(Table46[[#This Row],[Quantity]]*Table46[[#This Row],[UnitPrice]])</f>
        <v>190</v>
      </c>
    </row>
    <row r="40" spans="1:9" ht="15.75" thickBot="1" x14ac:dyDescent="0.3">
      <c r="A40" s="15">
        <v>1036</v>
      </c>
      <c r="B40" s="13" t="s">
        <v>87</v>
      </c>
      <c r="C40" s="13" t="s">
        <v>53</v>
      </c>
      <c r="D40" s="13" t="s">
        <v>51</v>
      </c>
      <c r="E40" s="13">
        <v>15</v>
      </c>
      <c r="F40" s="13">
        <v>25</v>
      </c>
      <c r="G40" s="16">
        <v>45343</v>
      </c>
      <c r="I40" s="23">
        <f>SUMPRODUCT(Table46[[#This Row],[Quantity]]*Table46[[#This Row],[UnitPrice]])</f>
        <v>375</v>
      </c>
    </row>
    <row r="41" spans="1:9" ht="15.75" thickBot="1" x14ac:dyDescent="0.3">
      <c r="A41" s="15">
        <v>1037</v>
      </c>
      <c r="B41" s="13" t="s">
        <v>88</v>
      </c>
      <c r="C41" s="13" t="s">
        <v>44</v>
      </c>
      <c r="D41" s="13" t="s">
        <v>55</v>
      </c>
      <c r="E41" s="13">
        <v>28</v>
      </c>
      <c r="F41" s="13">
        <v>5</v>
      </c>
      <c r="G41" s="16">
        <v>45344</v>
      </c>
      <c r="I41" s="23">
        <f>SUMPRODUCT(Table46[[#This Row],[Quantity]]*Table46[[#This Row],[UnitPrice]])</f>
        <v>140</v>
      </c>
    </row>
    <row r="42" spans="1:9" ht="15.75" thickBot="1" x14ac:dyDescent="0.3">
      <c r="A42" s="15">
        <v>1038</v>
      </c>
      <c r="B42" s="13" t="s">
        <v>89</v>
      </c>
      <c r="C42" s="13" t="s">
        <v>47</v>
      </c>
      <c r="D42" s="13" t="s">
        <v>58</v>
      </c>
      <c r="E42" s="13">
        <v>24</v>
      </c>
      <c r="F42" s="13">
        <v>8</v>
      </c>
      <c r="G42" s="16">
        <v>45345</v>
      </c>
      <c r="I42" s="23">
        <f>SUMPRODUCT(Table46[[#This Row],[Quantity]]*Table46[[#This Row],[UnitPrice]])</f>
        <v>192</v>
      </c>
    </row>
    <row r="43" spans="1:9" ht="15.75" thickBot="1" x14ac:dyDescent="0.3">
      <c r="A43" s="15">
        <v>1039</v>
      </c>
      <c r="B43" s="13" t="s">
        <v>90</v>
      </c>
      <c r="C43" s="13" t="s">
        <v>50</v>
      </c>
      <c r="D43" s="13" t="s">
        <v>45</v>
      </c>
      <c r="E43" s="13">
        <v>16</v>
      </c>
      <c r="F43" s="13">
        <v>50</v>
      </c>
      <c r="G43" s="16">
        <v>45347</v>
      </c>
      <c r="I43" s="23">
        <f>SUMPRODUCT(Table46[[#This Row],[Quantity]]*Table46[[#This Row],[UnitPrice]])</f>
        <v>800</v>
      </c>
    </row>
    <row r="44" spans="1:9" ht="15.75" thickBot="1" x14ac:dyDescent="0.3">
      <c r="A44" s="15">
        <v>1040</v>
      </c>
      <c r="B44" s="13" t="s">
        <v>91</v>
      </c>
      <c r="C44" s="13" t="s">
        <v>53</v>
      </c>
      <c r="D44" s="13" t="s">
        <v>48</v>
      </c>
      <c r="E44" s="13">
        <v>27</v>
      </c>
      <c r="F44" s="13">
        <v>10</v>
      </c>
      <c r="G44" s="16">
        <v>45348</v>
      </c>
      <c r="I44" s="23">
        <f>SUMPRODUCT(Table46[[#This Row],[Quantity]]*Table46[[#This Row],[UnitPrice]])</f>
        <v>270</v>
      </c>
    </row>
    <row r="45" spans="1:9" ht="15.75" thickBot="1" x14ac:dyDescent="0.3">
      <c r="A45" s="15">
        <v>1041</v>
      </c>
      <c r="B45" s="13" t="s">
        <v>92</v>
      </c>
      <c r="C45" s="13" t="s">
        <v>44</v>
      </c>
      <c r="D45" s="13" t="s">
        <v>51</v>
      </c>
      <c r="E45" s="13">
        <v>21</v>
      </c>
      <c r="F45" s="13">
        <v>25</v>
      </c>
      <c r="G45" s="16">
        <v>45349</v>
      </c>
      <c r="I45" s="23">
        <f>SUMPRODUCT(Table46[[#This Row],[Quantity]]*Table46[[#This Row],[UnitPrice]])</f>
        <v>525</v>
      </c>
    </row>
    <row r="46" spans="1:9" ht="30.75" thickBot="1" x14ac:dyDescent="0.3">
      <c r="A46" s="15">
        <v>1042</v>
      </c>
      <c r="B46" s="13" t="s">
        <v>93</v>
      </c>
      <c r="C46" s="13" t="s">
        <v>47</v>
      </c>
      <c r="D46" s="13" t="s">
        <v>55</v>
      </c>
      <c r="E46" s="13">
        <v>30</v>
      </c>
      <c r="F46" s="13">
        <v>5</v>
      </c>
      <c r="G46" s="16">
        <v>45350</v>
      </c>
      <c r="I46" s="23">
        <f>SUMPRODUCT(Table46[[#This Row],[Quantity]]*Table46[[#This Row],[UnitPrice]])</f>
        <v>150</v>
      </c>
    </row>
    <row r="47" spans="1:9" ht="15.75" thickBot="1" x14ac:dyDescent="0.3">
      <c r="A47" s="15">
        <v>1043</v>
      </c>
      <c r="B47" s="13" t="s">
        <v>94</v>
      </c>
      <c r="C47" s="13" t="s">
        <v>50</v>
      </c>
      <c r="D47" s="13" t="s">
        <v>58</v>
      </c>
      <c r="E47" s="13">
        <v>26</v>
      </c>
      <c r="F47" s="13">
        <v>8</v>
      </c>
      <c r="G47" s="16">
        <v>45352</v>
      </c>
      <c r="I47" s="23">
        <f>SUMPRODUCT(Table46[[#This Row],[Quantity]]*Table46[[#This Row],[UnitPrice]])</f>
        <v>208</v>
      </c>
    </row>
    <row r="48" spans="1:9" ht="15.75" thickBot="1" x14ac:dyDescent="0.3">
      <c r="A48" s="15">
        <v>1044</v>
      </c>
      <c r="B48" s="13" t="s">
        <v>95</v>
      </c>
      <c r="C48" s="13" t="s">
        <v>53</v>
      </c>
      <c r="D48" s="13" t="s">
        <v>45</v>
      </c>
      <c r="E48" s="13">
        <v>14</v>
      </c>
      <c r="F48" s="13">
        <v>50</v>
      </c>
      <c r="G48" s="16">
        <v>45353</v>
      </c>
      <c r="I48" s="23">
        <f>SUMPRODUCT(Table46[[#This Row],[Quantity]]*Table46[[#This Row],[UnitPrice]])</f>
        <v>700</v>
      </c>
    </row>
    <row r="49" spans="1:9" ht="15.75" thickBot="1" x14ac:dyDescent="0.3">
      <c r="A49" s="15">
        <v>1045</v>
      </c>
      <c r="B49" s="13" t="s">
        <v>96</v>
      </c>
      <c r="C49" s="13" t="s">
        <v>44</v>
      </c>
      <c r="D49" s="13" t="s">
        <v>48</v>
      </c>
      <c r="E49" s="13">
        <v>20</v>
      </c>
      <c r="F49" s="13">
        <v>10</v>
      </c>
      <c r="G49" s="16">
        <v>45354</v>
      </c>
      <c r="I49" s="23">
        <f>SUMPRODUCT(Table46[[#This Row],[Quantity]]*Table46[[#This Row],[UnitPrice]])</f>
        <v>200</v>
      </c>
    </row>
    <row r="50" spans="1:9" ht="15.75" thickBot="1" x14ac:dyDescent="0.3">
      <c r="A50" s="15">
        <v>1046</v>
      </c>
      <c r="B50" s="13" t="s">
        <v>97</v>
      </c>
      <c r="C50" s="13" t="s">
        <v>47</v>
      </c>
      <c r="D50" s="13" t="s">
        <v>51</v>
      </c>
      <c r="E50" s="13">
        <v>17</v>
      </c>
      <c r="F50" s="13">
        <v>25</v>
      </c>
      <c r="G50" s="16">
        <v>45355</v>
      </c>
      <c r="I50" s="23">
        <f>SUMPRODUCT(Table46[[#This Row],[Quantity]]*Table46[[#This Row],[UnitPrice]])</f>
        <v>425</v>
      </c>
    </row>
    <row r="51" spans="1:9" ht="15.75" thickBot="1" x14ac:dyDescent="0.3">
      <c r="A51" s="15">
        <v>1047</v>
      </c>
      <c r="B51" s="13" t="s">
        <v>98</v>
      </c>
      <c r="C51" s="13" t="s">
        <v>50</v>
      </c>
      <c r="D51" s="13" t="s">
        <v>55</v>
      </c>
      <c r="E51" s="13">
        <v>19</v>
      </c>
      <c r="F51" s="13">
        <v>5</v>
      </c>
      <c r="G51" s="16">
        <v>45356</v>
      </c>
      <c r="I51" s="23">
        <f>SUMPRODUCT(Table46[[#This Row],[Quantity]]*Table46[[#This Row],[UnitPrice]])</f>
        <v>95</v>
      </c>
    </row>
    <row r="52" spans="1:9" ht="15.75" thickBot="1" x14ac:dyDescent="0.3">
      <c r="A52" s="15">
        <v>1048</v>
      </c>
      <c r="B52" s="13" t="s">
        <v>99</v>
      </c>
      <c r="C52" s="13" t="s">
        <v>53</v>
      </c>
      <c r="D52" s="13" t="s">
        <v>58</v>
      </c>
      <c r="E52" s="13">
        <v>32</v>
      </c>
      <c r="F52" s="13">
        <v>8</v>
      </c>
      <c r="G52" s="16">
        <v>45357</v>
      </c>
      <c r="I52" s="23">
        <f>SUMPRODUCT(Table46[[#This Row],[Quantity]]*Table46[[#This Row],[UnitPrice]])</f>
        <v>256</v>
      </c>
    </row>
    <row r="53" spans="1:9" ht="15.75" thickBot="1" x14ac:dyDescent="0.3">
      <c r="A53" s="15">
        <v>1049</v>
      </c>
      <c r="B53" s="13" t="s">
        <v>100</v>
      </c>
      <c r="C53" s="13" t="s">
        <v>44</v>
      </c>
      <c r="D53" s="13" t="s">
        <v>45</v>
      </c>
      <c r="E53" s="13">
        <v>12</v>
      </c>
      <c r="F53" s="13">
        <v>50</v>
      </c>
      <c r="G53" s="16">
        <v>45358</v>
      </c>
      <c r="I53" s="23">
        <f>SUMPRODUCT(Table46[[#This Row],[Quantity]]*Table46[[#This Row],[UnitPrice]])</f>
        <v>600</v>
      </c>
    </row>
    <row r="54" spans="1:9" ht="30" x14ac:dyDescent="0.25">
      <c r="A54" s="20">
        <v>1050</v>
      </c>
      <c r="B54" s="21" t="s">
        <v>101</v>
      </c>
      <c r="C54" s="21" t="s">
        <v>47</v>
      </c>
      <c r="D54" s="21" t="s">
        <v>48</v>
      </c>
      <c r="E54" s="21">
        <v>25</v>
      </c>
      <c r="F54" s="21">
        <v>10</v>
      </c>
      <c r="G54" s="22">
        <v>45359</v>
      </c>
      <c r="I54" s="23">
        <f>SUMPRODUCT(Table46[[#This Row],[Quantity]]*Table46[[#This Row],[UnitPrice]])</f>
        <v>250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"/>
  <sheetViews>
    <sheetView topLeftCell="A3" workbookViewId="0">
      <selection activeCell="G54" sqref="A4:G54"/>
    </sheetView>
  </sheetViews>
  <sheetFormatPr defaultRowHeight="15" x14ac:dyDescent="0.25"/>
  <cols>
    <col min="2" max="2" width="13.42578125" bestFit="1" customWidth="1"/>
    <col min="3" max="3" width="11.7109375" bestFit="1" customWidth="1"/>
    <col min="4" max="4" width="12.42578125" bestFit="1" customWidth="1"/>
    <col min="6" max="6" width="12.7109375" bestFit="1" customWidth="1"/>
    <col min="7" max="7" width="13.7109375" bestFit="1" customWidth="1"/>
    <col min="9" max="9" width="16" bestFit="1" customWidth="1"/>
  </cols>
  <sheetData>
    <row r="1" spans="1:11" x14ac:dyDescent="0.25">
      <c r="A1" t="s">
        <v>105</v>
      </c>
    </row>
    <row r="2" spans="1:11" x14ac:dyDescent="0.25">
      <c r="A2" t="s">
        <v>106</v>
      </c>
    </row>
    <row r="4" spans="1:11" ht="31.5" thickBot="1" x14ac:dyDescent="0.35">
      <c r="A4" s="17" t="s">
        <v>36</v>
      </c>
      <c r="B4" s="18" t="s">
        <v>37</v>
      </c>
      <c r="C4" s="18" t="s">
        <v>38</v>
      </c>
      <c r="D4" s="18" t="s">
        <v>39</v>
      </c>
      <c r="E4" s="18" t="s">
        <v>40</v>
      </c>
      <c r="F4" s="18" t="s">
        <v>41</v>
      </c>
      <c r="G4" s="19" t="s">
        <v>42</v>
      </c>
      <c r="I4" s="24" t="s">
        <v>107</v>
      </c>
      <c r="K4" t="s">
        <v>108</v>
      </c>
    </row>
    <row r="5" spans="1:11" ht="30.75" thickBot="1" x14ac:dyDescent="0.3">
      <c r="A5" s="15">
        <v>1001</v>
      </c>
      <c r="B5" s="13" t="s">
        <v>43</v>
      </c>
      <c r="C5" s="13" t="s">
        <v>44</v>
      </c>
      <c r="D5" s="13" t="s">
        <v>45</v>
      </c>
      <c r="E5" s="13">
        <v>10</v>
      </c>
      <c r="F5" s="13">
        <v>50</v>
      </c>
      <c r="G5" s="16">
        <v>45296</v>
      </c>
      <c r="I5" s="23">
        <f>SUMPRODUCT(Table46[[#This Row],[Quantity]]*Table46[[#This Row],[UnitPrice]])</f>
        <v>500</v>
      </c>
      <c r="K5">
        <f>SUMIF(Table467[Region],"North",I5:I54)</f>
        <v>4941</v>
      </c>
    </row>
    <row r="6" spans="1:11" ht="30.75" thickBot="1" x14ac:dyDescent="0.3">
      <c r="A6" s="15">
        <v>1002</v>
      </c>
      <c r="B6" s="13" t="s">
        <v>46</v>
      </c>
      <c r="C6" s="13" t="s">
        <v>47</v>
      </c>
      <c r="D6" s="13" t="s">
        <v>48</v>
      </c>
      <c r="E6" s="13">
        <v>20</v>
      </c>
      <c r="F6" s="13">
        <v>10</v>
      </c>
      <c r="G6" s="16">
        <v>45297</v>
      </c>
      <c r="I6" s="23">
        <f>SUMPRODUCT(Table46[[#This Row],[Quantity]]*Table46[[#This Row],[UnitPrice]])</f>
        <v>200</v>
      </c>
    </row>
    <row r="7" spans="1:11" ht="30.75" thickBot="1" x14ac:dyDescent="0.3">
      <c r="A7" s="15">
        <v>1003</v>
      </c>
      <c r="B7" s="13" t="s">
        <v>49</v>
      </c>
      <c r="C7" s="13" t="s">
        <v>50</v>
      </c>
      <c r="D7" s="13" t="s">
        <v>51</v>
      </c>
      <c r="E7" s="13">
        <v>15</v>
      </c>
      <c r="F7" s="13">
        <v>25</v>
      </c>
      <c r="G7" s="16">
        <v>45298</v>
      </c>
      <c r="I7" s="23">
        <f>SUMPRODUCT(Table46[[#This Row],[Quantity]]*Table46[[#This Row],[UnitPrice]])</f>
        <v>375</v>
      </c>
    </row>
    <row r="8" spans="1:11" ht="30.75" thickBot="1" x14ac:dyDescent="0.3">
      <c r="A8" s="15">
        <v>1004</v>
      </c>
      <c r="B8" s="13" t="s">
        <v>52</v>
      </c>
      <c r="C8" s="13" t="s">
        <v>53</v>
      </c>
      <c r="D8" s="13" t="s">
        <v>45</v>
      </c>
      <c r="E8" s="13">
        <v>5</v>
      </c>
      <c r="F8" s="13">
        <v>50</v>
      </c>
      <c r="G8" s="16">
        <v>45299</v>
      </c>
      <c r="I8" s="23">
        <f>SUMPRODUCT(Table46[[#This Row],[Quantity]]*Table46[[#This Row],[UnitPrice]])</f>
        <v>250</v>
      </c>
    </row>
    <row r="9" spans="1:11" ht="30.75" thickBot="1" x14ac:dyDescent="0.3">
      <c r="A9" s="15">
        <v>1005</v>
      </c>
      <c r="B9" s="13" t="s">
        <v>54</v>
      </c>
      <c r="C9" s="13" t="s">
        <v>44</v>
      </c>
      <c r="D9" s="13" t="s">
        <v>55</v>
      </c>
      <c r="E9" s="13">
        <v>30</v>
      </c>
      <c r="F9" s="13">
        <v>5</v>
      </c>
      <c r="G9" s="16">
        <v>45301</v>
      </c>
      <c r="I9" s="23">
        <f>SUMPRODUCT(Table46[[#This Row],[Quantity]]*Table46[[#This Row],[UnitPrice]])</f>
        <v>150</v>
      </c>
    </row>
    <row r="10" spans="1:11" ht="30.75" thickBot="1" x14ac:dyDescent="0.3">
      <c r="A10" s="15">
        <v>1006</v>
      </c>
      <c r="B10" s="13" t="s">
        <v>56</v>
      </c>
      <c r="C10" s="13" t="s">
        <v>47</v>
      </c>
      <c r="D10" s="13" t="s">
        <v>45</v>
      </c>
      <c r="E10" s="13">
        <v>12</v>
      </c>
      <c r="F10" s="13">
        <v>50</v>
      </c>
      <c r="G10" s="16">
        <v>45302</v>
      </c>
      <c r="I10" s="23">
        <f>SUMPRODUCT(Table46[[#This Row],[Quantity]]*Table46[[#This Row],[UnitPrice]])</f>
        <v>600</v>
      </c>
    </row>
    <row r="11" spans="1:11" ht="30.75" thickBot="1" x14ac:dyDescent="0.3">
      <c r="A11" s="15">
        <v>1007</v>
      </c>
      <c r="B11" s="13" t="s">
        <v>57</v>
      </c>
      <c r="C11" s="13" t="s">
        <v>50</v>
      </c>
      <c r="D11" s="13" t="s">
        <v>58</v>
      </c>
      <c r="E11" s="13">
        <v>25</v>
      </c>
      <c r="F11" s="13">
        <v>8</v>
      </c>
      <c r="G11" s="16">
        <v>45304</v>
      </c>
      <c r="I11" s="23">
        <f>SUMPRODUCT(Table46[[#This Row],[Quantity]]*Table46[[#This Row],[UnitPrice]])</f>
        <v>200</v>
      </c>
    </row>
    <row r="12" spans="1:11" ht="30.75" thickBot="1" x14ac:dyDescent="0.3">
      <c r="A12" s="15">
        <v>1008</v>
      </c>
      <c r="B12" s="13" t="s">
        <v>59</v>
      </c>
      <c r="C12" s="13" t="s">
        <v>53</v>
      </c>
      <c r="D12" s="13" t="s">
        <v>48</v>
      </c>
      <c r="E12" s="13">
        <v>18</v>
      </c>
      <c r="F12" s="13">
        <v>10</v>
      </c>
      <c r="G12" s="16">
        <v>45306</v>
      </c>
      <c r="I12" s="23">
        <f>SUMPRODUCT(Table46[[#This Row],[Quantity]]*Table46[[#This Row],[UnitPrice]])</f>
        <v>180</v>
      </c>
    </row>
    <row r="13" spans="1:11" ht="30.75" thickBot="1" x14ac:dyDescent="0.3">
      <c r="A13" s="15">
        <v>1009</v>
      </c>
      <c r="B13" s="13" t="s">
        <v>60</v>
      </c>
      <c r="C13" s="13" t="s">
        <v>44</v>
      </c>
      <c r="D13" s="13" t="s">
        <v>51</v>
      </c>
      <c r="E13" s="13">
        <v>22</v>
      </c>
      <c r="F13" s="13">
        <v>25</v>
      </c>
      <c r="G13" s="16">
        <v>45308</v>
      </c>
      <c r="I13" s="23">
        <f>SUMPRODUCT(Table46[[#This Row],[Quantity]]*Table46[[#This Row],[UnitPrice]])</f>
        <v>550</v>
      </c>
    </row>
    <row r="14" spans="1:11" ht="30.75" thickBot="1" x14ac:dyDescent="0.3">
      <c r="A14" s="15">
        <v>1010</v>
      </c>
      <c r="B14" s="13" t="s">
        <v>61</v>
      </c>
      <c r="C14" s="13" t="s">
        <v>47</v>
      </c>
      <c r="D14" s="13" t="s">
        <v>45</v>
      </c>
      <c r="E14" s="13">
        <v>8</v>
      </c>
      <c r="F14" s="13">
        <v>50</v>
      </c>
      <c r="G14" s="16">
        <v>45309</v>
      </c>
      <c r="I14" s="23">
        <f>SUMPRODUCT(Table46[[#This Row],[Quantity]]*Table46[[#This Row],[UnitPrice]])</f>
        <v>400</v>
      </c>
    </row>
    <row r="15" spans="1:11" ht="15.75" thickBot="1" x14ac:dyDescent="0.3">
      <c r="A15" s="15">
        <v>1011</v>
      </c>
      <c r="B15" s="13" t="s">
        <v>62</v>
      </c>
      <c r="C15" s="13" t="s">
        <v>50</v>
      </c>
      <c r="D15" s="13" t="s">
        <v>55</v>
      </c>
      <c r="E15" s="13">
        <v>40</v>
      </c>
      <c r="F15" s="13">
        <v>5</v>
      </c>
      <c r="G15" s="16">
        <v>45310</v>
      </c>
      <c r="I15" s="23">
        <f>SUMPRODUCT(Table46[[#This Row],[Quantity]]*Table46[[#This Row],[UnitPrice]])</f>
        <v>200</v>
      </c>
    </row>
    <row r="16" spans="1:11" ht="30.75" thickBot="1" x14ac:dyDescent="0.3">
      <c r="A16" s="15">
        <v>1012</v>
      </c>
      <c r="B16" s="13" t="s">
        <v>63</v>
      </c>
      <c r="C16" s="13" t="s">
        <v>53</v>
      </c>
      <c r="D16" s="13" t="s">
        <v>58</v>
      </c>
      <c r="E16" s="13">
        <v>35</v>
      </c>
      <c r="F16" s="13">
        <v>8</v>
      </c>
      <c r="G16" s="16">
        <v>45311</v>
      </c>
      <c r="I16" s="23">
        <f>SUMPRODUCT(Table46[[#This Row],[Quantity]]*Table46[[#This Row],[UnitPrice]])</f>
        <v>280</v>
      </c>
    </row>
    <row r="17" spans="1:9" ht="15.75" thickBot="1" x14ac:dyDescent="0.3">
      <c r="A17" s="15">
        <v>1013</v>
      </c>
      <c r="B17" s="13" t="s">
        <v>64</v>
      </c>
      <c r="C17" s="13" t="s">
        <v>44</v>
      </c>
      <c r="D17" s="13" t="s">
        <v>45</v>
      </c>
      <c r="E17" s="13">
        <v>14</v>
      </c>
      <c r="F17" s="13">
        <v>50</v>
      </c>
      <c r="G17" s="16">
        <v>45313</v>
      </c>
      <c r="I17" s="23">
        <f>SUMPRODUCT(Table46[[#This Row],[Quantity]]*Table46[[#This Row],[UnitPrice]])</f>
        <v>700</v>
      </c>
    </row>
    <row r="18" spans="1:9" ht="15.75" thickBot="1" x14ac:dyDescent="0.3">
      <c r="A18" s="15">
        <v>1014</v>
      </c>
      <c r="B18" s="13" t="s">
        <v>65</v>
      </c>
      <c r="C18" s="13" t="s">
        <v>47</v>
      </c>
      <c r="D18" s="13" t="s">
        <v>48</v>
      </c>
      <c r="E18" s="13">
        <v>28</v>
      </c>
      <c r="F18" s="13">
        <v>10</v>
      </c>
      <c r="G18" s="16">
        <v>45314</v>
      </c>
      <c r="I18" s="23">
        <f>SUMPRODUCT(Table46[[#This Row],[Quantity]]*Table46[[#This Row],[UnitPrice]])</f>
        <v>280</v>
      </c>
    </row>
    <row r="19" spans="1:9" ht="15.75" thickBot="1" x14ac:dyDescent="0.3">
      <c r="A19" s="15">
        <v>1015</v>
      </c>
      <c r="B19" s="13" t="s">
        <v>66</v>
      </c>
      <c r="C19" s="13" t="s">
        <v>50</v>
      </c>
      <c r="D19" s="13" t="s">
        <v>51</v>
      </c>
      <c r="E19" s="13">
        <v>12</v>
      </c>
      <c r="F19" s="13">
        <v>25</v>
      </c>
      <c r="G19" s="16">
        <v>45315</v>
      </c>
      <c r="I19" s="23">
        <f>SUMPRODUCT(Table46[[#This Row],[Quantity]]*Table46[[#This Row],[UnitPrice]])</f>
        <v>300</v>
      </c>
    </row>
    <row r="20" spans="1:9" ht="15.75" thickBot="1" x14ac:dyDescent="0.3">
      <c r="A20" s="15">
        <v>1016</v>
      </c>
      <c r="B20" s="13" t="s">
        <v>67</v>
      </c>
      <c r="C20" s="13" t="s">
        <v>53</v>
      </c>
      <c r="D20" s="13" t="s">
        <v>55</v>
      </c>
      <c r="E20" s="13">
        <v>25</v>
      </c>
      <c r="F20" s="13">
        <v>5</v>
      </c>
      <c r="G20" s="16">
        <v>45317</v>
      </c>
      <c r="I20" s="23">
        <f>SUMPRODUCT(Table46[[#This Row],[Quantity]]*Table46[[#This Row],[UnitPrice]])</f>
        <v>125</v>
      </c>
    </row>
    <row r="21" spans="1:9" ht="15.75" thickBot="1" x14ac:dyDescent="0.3">
      <c r="A21" s="15">
        <v>1017</v>
      </c>
      <c r="B21" s="13" t="s">
        <v>68</v>
      </c>
      <c r="C21" s="13" t="s">
        <v>44</v>
      </c>
      <c r="D21" s="13" t="s">
        <v>58</v>
      </c>
      <c r="E21" s="13">
        <v>20</v>
      </c>
      <c r="F21" s="13">
        <v>8</v>
      </c>
      <c r="G21" s="16">
        <v>45319</v>
      </c>
      <c r="I21" s="23">
        <f>SUMPRODUCT(Table46[[#This Row],[Quantity]]*Table46[[#This Row],[UnitPrice]])</f>
        <v>160</v>
      </c>
    </row>
    <row r="22" spans="1:9" ht="15.75" thickBot="1" x14ac:dyDescent="0.3">
      <c r="A22" s="15">
        <v>1018</v>
      </c>
      <c r="B22" s="13" t="s">
        <v>69</v>
      </c>
      <c r="C22" s="13" t="s">
        <v>47</v>
      </c>
      <c r="D22" s="13" t="s">
        <v>45</v>
      </c>
      <c r="E22" s="13">
        <v>10</v>
      </c>
      <c r="F22" s="13">
        <v>50</v>
      </c>
      <c r="G22" s="16">
        <v>45320</v>
      </c>
      <c r="I22" s="23">
        <f>SUMPRODUCT(Table46[[#This Row],[Quantity]]*Table46[[#This Row],[UnitPrice]])</f>
        <v>500</v>
      </c>
    </row>
    <row r="23" spans="1:9" ht="15.75" thickBot="1" x14ac:dyDescent="0.3">
      <c r="A23" s="15">
        <v>1019</v>
      </c>
      <c r="B23" s="13" t="s">
        <v>70</v>
      </c>
      <c r="C23" s="13" t="s">
        <v>50</v>
      </c>
      <c r="D23" s="13" t="s">
        <v>48</v>
      </c>
      <c r="E23" s="13">
        <v>15</v>
      </c>
      <c r="F23" s="13">
        <v>10</v>
      </c>
      <c r="G23" s="16">
        <v>45321</v>
      </c>
      <c r="I23" s="23">
        <f>SUMPRODUCT(Table46[[#This Row],[Quantity]]*Table46[[#This Row],[UnitPrice]])</f>
        <v>150</v>
      </c>
    </row>
    <row r="24" spans="1:9" ht="15.75" thickBot="1" x14ac:dyDescent="0.3">
      <c r="A24" s="15">
        <v>1020</v>
      </c>
      <c r="B24" s="13" t="s">
        <v>71</v>
      </c>
      <c r="C24" s="13" t="s">
        <v>53</v>
      </c>
      <c r="D24" s="13" t="s">
        <v>51</v>
      </c>
      <c r="E24" s="13">
        <v>18</v>
      </c>
      <c r="F24" s="13">
        <v>25</v>
      </c>
      <c r="G24" s="16">
        <v>45323</v>
      </c>
      <c r="I24" s="23">
        <f>SUMPRODUCT(Table46[[#This Row],[Quantity]]*Table46[[#This Row],[UnitPrice]])</f>
        <v>450</v>
      </c>
    </row>
    <row r="25" spans="1:9" ht="15.75" thickBot="1" x14ac:dyDescent="0.3">
      <c r="A25" s="15">
        <v>1021</v>
      </c>
      <c r="B25" s="13" t="s">
        <v>72</v>
      </c>
      <c r="C25" s="13" t="s">
        <v>44</v>
      </c>
      <c r="D25" s="13" t="s">
        <v>45</v>
      </c>
      <c r="E25" s="13">
        <v>9</v>
      </c>
      <c r="F25" s="13">
        <v>50</v>
      </c>
      <c r="G25" s="16">
        <v>45324</v>
      </c>
      <c r="I25" s="23">
        <f>SUMPRODUCT(Table46[[#This Row],[Quantity]]*Table46[[#This Row],[UnitPrice]])</f>
        <v>450</v>
      </c>
    </row>
    <row r="26" spans="1:9" ht="15.75" thickBot="1" x14ac:dyDescent="0.3">
      <c r="A26" s="15">
        <v>1022</v>
      </c>
      <c r="B26" s="13" t="s">
        <v>73</v>
      </c>
      <c r="C26" s="13" t="s">
        <v>47</v>
      </c>
      <c r="D26" s="13" t="s">
        <v>55</v>
      </c>
      <c r="E26" s="13">
        <v>35</v>
      </c>
      <c r="F26" s="13">
        <v>5</v>
      </c>
      <c r="G26" s="16">
        <v>45325</v>
      </c>
      <c r="I26" s="23">
        <f>SUMPRODUCT(Table46[[#This Row],[Quantity]]*Table46[[#This Row],[UnitPrice]])</f>
        <v>175</v>
      </c>
    </row>
    <row r="27" spans="1:9" ht="15.75" thickBot="1" x14ac:dyDescent="0.3">
      <c r="A27" s="15">
        <v>1023</v>
      </c>
      <c r="B27" s="13" t="s">
        <v>74</v>
      </c>
      <c r="C27" s="13" t="s">
        <v>50</v>
      </c>
      <c r="D27" s="13" t="s">
        <v>58</v>
      </c>
      <c r="E27" s="13">
        <v>30</v>
      </c>
      <c r="F27" s="13">
        <v>8</v>
      </c>
      <c r="G27" s="16">
        <v>45326</v>
      </c>
      <c r="I27" s="23">
        <f>SUMPRODUCT(Table46[[#This Row],[Quantity]]*Table46[[#This Row],[UnitPrice]])</f>
        <v>240</v>
      </c>
    </row>
    <row r="28" spans="1:9" ht="15.75" thickBot="1" x14ac:dyDescent="0.3">
      <c r="A28" s="15">
        <v>1024</v>
      </c>
      <c r="B28" s="13" t="s">
        <v>75</v>
      </c>
      <c r="C28" s="13" t="s">
        <v>53</v>
      </c>
      <c r="D28" s="13" t="s">
        <v>45</v>
      </c>
      <c r="E28" s="13">
        <v>11</v>
      </c>
      <c r="F28" s="13">
        <v>50</v>
      </c>
      <c r="G28" s="16">
        <v>45328</v>
      </c>
      <c r="I28" s="23">
        <f>SUMPRODUCT(Table46[[#This Row],[Quantity]]*Table46[[#This Row],[UnitPrice]])</f>
        <v>550</v>
      </c>
    </row>
    <row r="29" spans="1:9" ht="15.75" thickBot="1" x14ac:dyDescent="0.3">
      <c r="A29" s="15">
        <v>1025</v>
      </c>
      <c r="B29" s="13" t="s">
        <v>76</v>
      </c>
      <c r="C29" s="13" t="s">
        <v>44</v>
      </c>
      <c r="D29" s="13" t="s">
        <v>48</v>
      </c>
      <c r="E29" s="13">
        <v>14</v>
      </c>
      <c r="F29" s="13">
        <v>10</v>
      </c>
      <c r="G29" s="16">
        <v>45329</v>
      </c>
      <c r="I29" s="23">
        <f>SUMPRODUCT(Table46[[#This Row],[Quantity]]*Table46[[#This Row],[UnitPrice]])</f>
        <v>140</v>
      </c>
    </row>
    <row r="30" spans="1:9" ht="15.75" thickBot="1" x14ac:dyDescent="0.3">
      <c r="A30" s="15">
        <v>1026</v>
      </c>
      <c r="B30" s="13" t="s">
        <v>77</v>
      </c>
      <c r="C30" s="13" t="s">
        <v>47</v>
      </c>
      <c r="D30" s="13" t="s">
        <v>51</v>
      </c>
      <c r="E30" s="13">
        <v>16</v>
      </c>
      <c r="F30" s="13">
        <v>25</v>
      </c>
      <c r="G30" s="16">
        <v>45330</v>
      </c>
      <c r="I30" s="23">
        <f>SUMPRODUCT(Table46[[#This Row],[Quantity]]*Table46[[#This Row],[UnitPrice]])</f>
        <v>400</v>
      </c>
    </row>
    <row r="31" spans="1:9" ht="15.75" thickBot="1" x14ac:dyDescent="0.3">
      <c r="A31" s="15">
        <v>1027</v>
      </c>
      <c r="B31" s="13" t="s">
        <v>78</v>
      </c>
      <c r="C31" s="13" t="s">
        <v>50</v>
      </c>
      <c r="D31" s="13" t="s">
        <v>55</v>
      </c>
      <c r="E31" s="13">
        <v>22</v>
      </c>
      <c r="F31" s="13">
        <v>5</v>
      </c>
      <c r="G31" s="16">
        <v>45331</v>
      </c>
      <c r="I31" s="23">
        <f>SUMPRODUCT(Table46[[#This Row],[Quantity]]*Table46[[#This Row],[UnitPrice]])</f>
        <v>110</v>
      </c>
    </row>
    <row r="32" spans="1:9" ht="15.75" thickBot="1" x14ac:dyDescent="0.3">
      <c r="A32" s="15">
        <v>1028</v>
      </c>
      <c r="B32" s="13" t="s">
        <v>79</v>
      </c>
      <c r="C32" s="13" t="s">
        <v>53</v>
      </c>
      <c r="D32" s="13" t="s">
        <v>58</v>
      </c>
      <c r="E32" s="13">
        <v>27</v>
      </c>
      <c r="F32" s="13">
        <v>8</v>
      </c>
      <c r="G32" s="16">
        <v>45332</v>
      </c>
      <c r="I32" s="23">
        <f>SUMPRODUCT(Table46[[#This Row],[Quantity]]*Table46[[#This Row],[UnitPrice]])</f>
        <v>216</v>
      </c>
    </row>
    <row r="33" spans="1:9" ht="30.75" thickBot="1" x14ac:dyDescent="0.3">
      <c r="A33" s="15">
        <v>1029</v>
      </c>
      <c r="B33" s="13" t="s">
        <v>80</v>
      </c>
      <c r="C33" s="13" t="s">
        <v>44</v>
      </c>
      <c r="D33" s="13" t="s">
        <v>45</v>
      </c>
      <c r="E33" s="13">
        <v>13</v>
      </c>
      <c r="F33" s="13">
        <v>50</v>
      </c>
      <c r="G33" s="16">
        <v>45334</v>
      </c>
      <c r="I33" s="23">
        <f>SUMPRODUCT(Table46[[#This Row],[Quantity]]*Table46[[#This Row],[UnitPrice]])</f>
        <v>650</v>
      </c>
    </row>
    <row r="34" spans="1:9" ht="15.75" thickBot="1" x14ac:dyDescent="0.3">
      <c r="A34" s="15">
        <v>1030</v>
      </c>
      <c r="B34" s="13" t="s">
        <v>81</v>
      </c>
      <c r="C34" s="13" t="s">
        <v>47</v>
      </c>
      <c r="D34" s="13" t="s">
        <v>48</v>
      </c>
      <c r="E34" s="13">
        <v>32</v>
      </c>
      <c r="F34" s="13">
        <v>10</v>
      </c>
      <c r="G34" s="16">
        <v>45335</v>
      </c>
      <c r="I34" s="23">
        <f>SUMPRODUCT(Table46[[#This Row],[Quantity]]*Table46[[#This Row],[UnitPrice]])</f>
        <v>320</v>
      </c>
    </row>
    <row r="35" spans="1:9" ht="15.75" thickBot="1" x14ac:dyDescent="0.3">
      <c r="A35" s="15">
        <v>1031</v>
      </c>
      <c r="B35" s="13" t="s">
        <v>82</v>
      </c>
      <c r="C35" s="13" t="s">
        <v>50</v>
      </c>
      <c r="D35" s="13" t="s">
        <v>51</v>
      </c>
      <c r="E35" s="13">
        <v>10</v>
      </c>
      <c r="F35" s="13">
        <v>25</v>
      </c>
      <c r="G35" s="16">
        <v>45336</v>
      </c>
      <c r="I35" s="23">
        <f>SUMPRODUCT(Table46[[#This Row],[Quantity]]*Table46[[#This Row],[UnitPrice]])</f>
        <v>250</v>
      </c>
    </row>
    <row r="36" spans="1:9" ht="15.75" thickBot="1" x14ac:dyDescent="0.3">
      <c r="A36" s="15">
        <v>1032</v>
      </c>
      <c r="B36" s="13" t="s">
        <v>83</v>
      </c>
      <c r="C36" s="13" t="s">
        <v>53</v>
      </c>
      <c r="D36" s="13" t="s">
        <v>55</v>
      </c>
      <c r="E36" s="13">
        <v>18</v>
      </c>
      <c r="F36" s="13">
        <v>5</v>
      </c>
      <c r="G36" s="16">
        <v>45338</v>
      </c>
      <c r="I36" s="23">
        <f>SUMPRODUCT(Table46[[#This Row],[Quantity]]*Table46[[#This Row],[UnitPrice]])</f>
        <v>90</v>
      </c>
    </row>
    <row r="37" spans="1:9" ht="15.75" thickBot="1" x14ac:dyDescent="0.3">
      <c r="A37" s="15">
        <v>1033</v>
      </c>
      <c r="B37" s="13" t="s">
        <v>84</v>
      </c>
      <c r="C37" s="13" t="s">
        <v>44</v>
      </c>
      <c r="D37" s="13" t="s">
        <v>58</v>
      </c>
      <c r="E37" s="13">
        <v>22</v>
      </c>
      <c r="F37" s="13">
        <v>8</v>
      </c>
      <c r="G37" s="16">
        <v>45339</v>
      </c>
      <c r="I37" s="23">
        <f>SUMPRODUCT(Table46[[#This Row],[Quantity]]*Table46[[#This Row],[UnitPrice]])</f>
        <v>176</v>
      </c>
    </row>
    <row r="38" spans="1:9" ht="15.75" thickBot="1" x14ac:dyDescent="0.3">
      <c r="A38" s="15">
        <v>1034</v>
      </c>
      <c r="B38" s="13" t="s">
        <v>85</v>
      </c>
      <c r="C38" s="13" t="s">
        <v>47</v>
      </c>
      <c r="D38" s="13" t="s">
        <v>45</v>
      </c>
      <c r="E38" s="13">
        <v>17</v>
      </c>
      <c r="F38" s="13">
        <v>50</v>
      </c>
      <c r="G38" s="16">
        <v>45340</v>
      </c>
      <c r="I38" s="23">
        <f>SUMPRODUCT(Table46[[#This Row],[Quantity]]*Table46[[#This Row],[UnitPrice]])</f>
        <v>850</v>
      </c>
    </row>
    <row r="39" spans="1:9" ht="15.75" thickBot="1" x14ac:dyDescent="0.3">
      <c r="A39" s="15">
        <v>1035</v>
      </c>
      <c r="B39" s="13" t="s">
        <v>86</v>
      </c>
      <c r="C39" s="13" t="s">
        <v>50</v>
      </c>
      <c r="D39" s="13" t="s">
        <v>48</v>
      </c>
      <c r="E39" s="13">
        <v>19</v>
      </c>
      <c r="F39" s="13">
        <v>10</v>
      </c>
      <c r="G39" s="16">
        <v>45341</v>
      </c>
      <c r="I39" s="23">
        <f>SUMPRODUCT(Table46[[#This Row],[Quantity]]*Table46[[#This Row],[UnitPrice]])</f>
        <v>190</v>
      </c>
    </row>
    <row r="40" spans="1:9" ht="15.75" thickBot="1" x14ac:dyDescent="0.3">
      <c r="A40" s="15">
        <v>1036</v>
      </c>
      <c r="B40" s="13" t="s">
        <v>87</v>
      </c>
      <c r="C40" s="13" t="s">
        <v>53</v>
      </c>
      <c r="D40" s="13" t="s">
        <v>51</v>
      </c>
      <c r="E40" s="13">
        <v>15</v>
      </c>
      <c r="F40" s="13">
        <v>25</v>
      </c>
      <c r="G40" s="16">
        <v>45343</v>
      </c>
      <c r="I40" s="23">
        <f>SUMPRODUCT(Table46[[#This Row],[Quantity]]*Table46[[#This Row],[UnitPrice]])</f>
        <v>375</v>
      </c>
    </row>
    <row r="41" spans="1:9" ht="15.75" thickBot="1" x14ac:dyDescent="0.3">
      <c r="A41" s="15">
        <v>1037</v>
      </c>
      <c r="B41" s="13" t="s">
        <v>88</v>
      </c>
      <c r="C41" s="13" t="s">
        <v>44</v>
      </c>
      <c r="D41" s="13" t="s">
        <v>55</v>
      </c>
      <c r="E41" s="13">
        <v>28</v>
      </c>
      <c r="F41" s="13">
        <v>5</v>
      </c>
      <c r="G41" s="16">
        <v>45344</v>
      </c>
      <c r="I41" s="23">
        <f>SUMPRODUCT(Table46[[#This Row],[Quantity]]*Table46[[#This Row],[UnitPrice]])</f>
        <v>140</v>
      </c>
    </row>
    <row r="42" spans="1:9" ht="15.75" thickBot="1" x14ac:dyDescent="0.3">
      <c r="A42" s="15">
        <v>1038</v>
      </c>
      <c r="B42" s="13" t="s">
        <v>89</v>
      </c>
      <c r="C42" s="13" t="s">
        <v>47</v>
      </c>
      <c r="D42" s="13" t="s">
        <v>58</v>
      </c>
      <c r="E42" s="13">
        <v>24</v>
      </c>
      <c r="F42" s="13">
        <v>8</v>
      </c>
      <c r="G42" s="16">
        <v>45345</v>
      </c>
      <c r="I42" s="23">
        <f>SUMPRODUCT(Table46[[#This Row],[Quantity]]*Table46[[#This Row],[UnitPrice]])</f>
        <v>192</v>
      </c>
    </row>
    <row r="43" spans="1:9" ht="15.75" thickBot="1" x14ac:dyDescent="0.3">
      <c r="A43" s="15">
        <v>1039</v>
      </c>
      <c r="B43" s="13" t="s">
        <v>90</v>
      </c>
      <c r="C43" s="13" t="s">
        <v>50</v>
      </c>
      <c r="D43" s="13" t="s">
        <v>45</v>
      </c>
      <c r="E43" s="13">
        <v>16</v>
      </c>
      <c r="F43" s="13">
        <v>50</v>
      </c>
      <c r="G43" s="16">
        <v>45347</v>
      </c>
      <c r="I43" s="23">
        <f>SUMPRODUCT(Table46[[#This Row],[Quantity]]*Table46[[#This Row],[UnitPrice]])</f>
        <v>800</v>
      </c>
    </row>
    <row r="44" spans="1:9" ht="15.75" thickBot="1" x14ac:dyDescent="0.3">
      <c r="A44" s="15">
        <v>1040</v>
      </c>
      <c r="B44" s="13" t="s">
        <v>91</v>
      </c>
      <c r="C44" s="13" t="s">
        <v>53</v>
      </c>
      <c r="D44" s="13" t="s">
        <v>48</v>
      </c>
      <c r="E44" s="13">
        <v>27</v>
      </c>
      <c r="F44" s="13">
        <v>10</v>
      </c>
      <c r="G44" s="16">
        <v>45348</v>
      </c>
      <c r="I44" s="23">
        <f>SUMPRODUCT(Table46[[#This Row],[Quantity]]*Table46[[#This Row],[UnitPrice]])</f>
        <v>270</v>
      </c>
    </row>
    <row r="45" spans="1:9" ht="15.75" thickBot="1" x14ac:dyDescent="0.3">
      <c r="A45" s="15">
        <v>1041</v>
      </c>
      <c r="B45" s="13" t="s">
        <v>92</v>
      </c>
      <c r="C45" s="13" t="s">
        <v>44</v>
      </c>
      <c r="D45" s="13" t="s">
        <v>51</v>
      </c>
      <c r="E45" s="13">
        <v>21</v>
      </c>
      <c r="F45" s="13">
        <v>25</v>
      </c>
      <c r="G45" s="16">
        <v>45349</v>
      </c>
      <c r="I45" s="23">
        <f>SUMPRODUCT(Table46[[#This Row],[Quantity]]*Table46[[#This Row],[UnitPrice]])</f>
        <v>525</v>
      </c>
    </row>
    <row r="46" spans="1:9" ht="30.75" thickBot="1" x14ac:dyDescent="0.3">
      <c r="A46" s="15">
        <v>1042</v>
      </c>
      <c r="B46" s="13" t="s">
        <v>93</v>
      </c>
      <c r="C46" s="13" t="s">
        <v>47</v>
      </c>
      <c r="D46" s="13" t="s">
        <v>55</v>
      </c>
      <c r="E46" s="13">
        <v>30</v>
      </c>
      <c r="F46" s="13">
        <v>5</v>
      </c>
      <c r="G46" s="16">
        <v>45350</v>
      </c>
      <c r="I46" s="23">
        <f>SUMPRODUCT(Table46[[#This Row],[Quantity]]*Table46[[#This Row],[UnitPrice]])</f>
        <v>150</v>
      </c>
    </row>
    <row r="47" spans="1:9" ht="15.75" thickBot="1" x14ac:dyDescent="0.3">
      <c r="A47" s="15">
        <v>1043</v>
      </c>
      <c r="B47" s="13" t="s">
        <v>94</v>
      </c>
      <c r="C47" s="13" t="s">
        <v>50</v>
      </c>
      <c r="D47" s="13" t="s">
        <v>58</v>
      </c>
      <c r="E47" s="13">
        <v>26</v>
      </c>
      <c r="F47" s="13">
        <v>8</v>
      </c>
      <c r="G47" s="16">
        <v>45352</v>
      </c>
      <c r="I47" s="23">
        <f>SUMPRODUCT(Table46[[#This Row],[Quantity]]*Table46[[#This Row],[UnitPrice]])</f>
        <v>208</v>
      </c>
    </row>
    <row r="48" spans="1:9" ht="15.75" thickBot="1" x14ac:dyDescent="0.3">
      <c r="A48" s="15">
        <v>1044</v>
      </c>
      <c r="B48" s="13" t="s">
        <v>95</v>
      </c>
      <c r="C48" s="13" t="s">
        <v>53</v>
      </c>
      <c r="D48" s="13" t="s">
        <v>45</v>
      </c>
      <c r="E48" s="13">
        <v>14</v>
      </c>
      <c r="F48" s="13">
        <v>50</v>
      </c>
      <c r="G48" s="16">
        <v>45353</v>
      </c>
      <c r="I48" s="23">
        <f>SUMPRODUCT(Table46[[#This Row],[Quantity]]*Table46[[#This Row],[UnitPrice]])</f>
        <v>700</v>
      </c>
    </row>
    <row r="49" spans="1:9" ht="15.75" thickBot="1" x14ac:dyDescent="0.3">
      <c r="A49" s="15">
        <v>1045</v>
      </c>
      <c r="B49" s="13" t="s">
        <v>96</v>
      </c>
      <c r="C49" s="13" t="s">
        <v>44</v>
      </c>
      <c r="D49" s="13" t="s">
        <v>48</v>
      </c>
      <c r="E49" s="13">
        <v>20</v>
      </c>
      <c r="F49" s="13">
        <v>10</v>
      </c>
      <c r="G49" s="16">
        <v>45354</v>
      </c>
      <c r="I49" s="23">
        <f>SUMPRODUCT(Table46[[#This Row],[Quantity]]*Table46[[#This Row],[UnitPrice]])</f>
        <v>200</v>
      </c>
    </row>
    <row r="50" spans="1:9" ht="15.75" thickBot="1" x14ac:dyDescent="0.3">
      <c r="A50" s="15">
        <v>1046</v>
      </c>
      <c r="B50" s="13" t="s">
        <v>97</v>
      </c>
      <c r="C50" s="13" t="s">
        <v>47</v>
      </c>
      <c r="D50" s="13" t="s">
        <v>51</v>
      </c>
      <c r="E50" s="13">
        <v>17</v>
      </c>
      <c r="F50" s="13">
        <v>25</v>
      </c>
      <c r="G50" s="16">
        <v>45355</v>
      </c>
      <c r="I50" s="23">
        <f>SUMPRODUCT(Table46[[#This Row],[Quantity]]*Table46[[#This Row],[UnitPrice]])</f>
        <v>425</v>
      </c>
    </row>
    <row r="51" spans="1:9" ht="15.75" thickBot="1" x14ac:dyDescent="0.3">
      <c r="A51" s="15">
        <v>1047</v>
      </c>
      <c r="B51" s="13" t="s">
        <v>98</v>
      </c>
      <c r="C51" s="13" t="s">
        <v>50</v>
      </c>
      <c r="D51" s="13" t="s">
        <v>55</v>
      </c>
      <c r="E51" s="13">
        <v>19</v>
      </c>
      <c r="F51" s="13">
        <v>5</v>
      </c>
      <c r="G51" s="16">
        <v>45356</v>
      </c>
      <c r="I51" s="23">
        <f>SUMPRODUCT(Table46[[#This Row],[Quantity]]*Table46[[#This Row],[UnitPrice]])</f>
        <v>95</v>
      </c>
    </row>
    <row r="52" spans="1:9" ht="15.75" thickBot="1" x14ac:dyDescent="0.3">
      <c r="A52" s="15">
        <v>1048</v>
      </c>
      <c r="B52" s="13" t="s">
        <v>99</v>
      </c>
      <c r="C52" s="13" t="s">
        <v>53</v>
      </c>
      <c r="D52" s="13" t="s">
        <v>58</v>
      </c>
      <c r="E52" s="13">
        <v>32</v>
      </c>
      <c r="F52" s="13">
        <v>8</v>
      </c>
      <c r="G52" s="16">
        <v>45357</v>
      </c>
      <c r="I52" s="23">
        <f>SUMPRODUCT(Table46[[#This Row],[Quantity]]*Table46[[#This Row],[UnitPrice]])</f>
        <v>256</v>
      </c>
    </row>
    <row r="53" spans="1:9" ht="15.75" thickBot="1" x14ac:dyDescent="0.3">
      <c r="A53" s="15">
        <v>1049</v>
      </c>
      <c r="B53" s="13" t="s">
        <v>100</v>
      </c>
      <c r="C53" s="13" t="s">
        <v>44</v>
      </c>
      <c r="D53" s="13" t="s">
        <v>45</v>
      </c>
      <c r="E53" s="13">
        <v>12</v>
      </c>
      <c r="F53" s="13">
        <v>50</v>
      </c>
      <c r="G53" s="16">
        <v>45358</v>
      </c>
      <c r="I53" s="23">
        <f>SUMPRODUCT(Table46[[#This Row],[Quantity]]*Table46[[#This Row],[UnitPrice]])</f>
        <v>600</v>
      </c>
    </row>
    <row r="54" spans="1:9" ht="30" x14ac:dyDescent="0.25">
      <c r="A54" s="20">
        <v>1050</v>
      </c>
      <c r="B54" s="21" t="s">
        <v>101</v>
      </c>
      <c r="C54" s="21" t="s">
        <v>47</v>
      </c>
      <c r="D54" s="21" t="s">
        <v>48</v>
      </c>
      <c r="E54" s="21">
        <v>25</v>
      </c>
      <c r="F54" s="21">
        <v>10</v>
      </c>
      <c r="G54" s="22">
        <v>45359</v>
      </c>
      <c r="I54" s="23">
        <f>SUMPRODUCT(Table46[[#This Row],[Quantity]]*Table46[[#This Row],[UnitPrice]])</f>
        <v>250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"/>
  <sheetViews>
    <sheetView zoomScale="110" zoomScaleNormal="110" workbookViewId="0">
      <selection activeCell="L4" sqref="L4"/>
    </sheetView>
  </sheetViews>
  <sheetFormatPr defaultRowHeight="15" x14ac:dyDescent="0.25"/>
  <cols>
    <col min="2" max="2" width="13.42578125" bestFit="1" customWidth="1"/>
    <col min="4" max="4" width="12.42578125" bestFit="1" customWidth="1"/>
    <col min="6" max="6" width="12.7109375" bestFit="1" customWidth="1"/>
    <col min="7" max="7" width="13.7109375" bestFit="1" customWidth="1"/>
    <col min="9" max="9" width="16" bestFit="1" customWidth="1"/>
  </cols>
  <sheetData>
    <row r="1" spans="1:9" x14ac:dyDescent="0.25">
      <c r="A1" t="s">
        <v>109</v>
      </c>
    </row>
    <row r="2" spans="1:9" x14ac:dyDescent="0.25">
      <c r="A2" t="s">
        <v>110</v>
      </c>
    </row>
    <row r="4" spans="1:9" ht="31.5" thickBot="1" x14ac:dyDescent="0.35">
      <c r="A4" s="17" t="s">
        <v>36</v>
      </c>
      <c r="B4" s="18" t="s">
        <v>37</v>
      </c>
      <c r="C4" s="18" t="s">
        <v>38</v>
      </c>
      <c r="D4" s="18" t="s">
        <v>39</v>
      </c>
      <c r="E4" s="18" t="s">
        <v>40</v>
      </c>
      <c r="F4" s="18" t="s">
        <v>41</v>
      </c>
      <c r="G4" s="19" t="s">
        <v>42</v>
      </c>
      <c r="I4" s="24" t="s">
        <v>107</v>
      </c>
    </row>
    <row r="5" spans="1:9" ht="15.75" thickBot="1" x14ac:dyDescent="0.3">
      <c r="A5" s="15">
        <v>1001</v>
      </c>
      <c r="B5" s="13" t="s">
        <v>43</v>
      </c>
      <c r="C5" s="13" t="s">
        <v>44</v>
      </c>
      <c r="D5" s="13" t="s">
        <v>45</v>
      </c>
      <c r="E5" s="13">
        <v>10</v>
      </c>
      <c r="F5" s="13">
        <v>50</v>
      </c>
      <c r="G5" s="16">
        <v>45296</v>
      </c>
      <c r="I5" s="23">
        <f>SUMPRODUCT(Table46[[#This Row],[Quantity]]*Table46[[#This Row],[UnitPrice]])</f>
        <v>500</v>
      </c>
    </row>
    <row r="6" spans="1:9" ht="15.75" thickBot="1" x14ac:dyDescent="0.3">
      <c r="A6" s="15">
        <v>1002</v>
      </c>
      <c r="B6" s="13" t="s">
        <v>46</v>
      </c>
      <c r="C6" s="13" t="s">
        <v>47</v>
      </c>
      <c r="D6" s="13" t="s">
        <v>48</v>
      </c>
      <c r="E6" s="13">
        <v>20</v>
      </c>
      <c r="F6" s="13">
        <v>10</v>
      </c>
      <c r="G6" s="16">
        <v>45297</v>
      </c>
      <c r="I6" s="23">
        <f>SUMPRODUCT(Table46[[#This Row],[Quantity]]*Table46[[#This Row],[UnitPrice]])</f>
        <v>200</v>
      </c>
    </row>
    <row r="7" spans="1:9" ht="15.75" thickBot="1" x14ac:dyDescent="0.3">
      <c r="A7" s="15">
        <v>1003</v>
      </c>
      <c r="B7" s="13" t="s">
        <v>49</v>
      </c>
      <c r="C7" s="13" t="s">
        <v>50</v>
      </c>
      <c r="D7" s="13" t="s">
        <v>51</v>
      </c>
      <c r="E7" s="13">
        <v>15</v>
      </c>
      <c r="F7" s="13">
        <v>25</v>
      </c>
      <c r="G7" s="16">
        <v>45298</v>
      </c>
      <c r="I7" s="23">
        <f>SUMPRODUCT(Table46[[#This Row],[Quantity]]*Table46[[#This Row],[UnitPrice]])</f>
        <v>375</v>
      </c>
    </row>
    <row r="8" spans="1:9" ht="15.75" thickBot="1" x14ac:dyDescent="0.3">
      <c r="A8" s="15">
        <v>1004</v>
      </c>
      <c r="B8" s="13" t="s">
        <v>52</v>
      </c>
      <c r="C8" s="13" t="s">
        <v>53</v>
      </c>
      <c r="D8" s="13" t="s">
        <v>45</v>
      </c>
      <c r="E8" s="13">
        <v>5</v>
      </c>
      <c r="F8" s="13">
        <v>50</v>
      </c>
      <c r="G8" s="16">
        <v>45299</v>
      </c>
      <c r="I8" s="23">
        <f>SUMPRODUCT(Table46[[#This Row],[Quantity]]*Table46[[#This Row],[UnitPrice]])</f>
        <v>250</v>
      </c>
    </row>
    <row r="9" spans="1:9" ht="15.75" thickBot="1" x14ac:dyDescent="0.3">
      <c r="A9" s="15">
        <v>1005</v>
      </c>
      <c r="B9" s="13" t="s">
        <v>54</v>
      </c>
      <c r="C9" s="13" t="s">
        <v>44</v>
      </c>
      <c r="D9" s="13" t="s">
        <v>55</v>
      </c>
      <c r="E9" s="13">
        <v>30</v>
      </c>
      <c r="F9" s="13">
        <v>5</v>
      </c>
      <c r="G9" s="16">
        <v>45301</v>
      </c>
      <c r="I9" s="23">
        <f>SUMPRODUCT(Table46[[#This Row],[Quantity]]*Table46[[#This Row],[UnitPrice]])</f>
        <v>150</v>
      </c>
    </row>
    <row r="10" spans="1:9" ht="15.75" thickBot="1" x14ac:dyDescent="0.3">
      <c r="A10" s="15">
        <v>1006</v>
      </c>
      <c r="B10" s="13" t="s">
        <v>56</v>
      </c>
      <c r="C10" s="13" t="s">
        <v>47</v>
      </c>
      <c r="D10" s="13" t="s">
        <v>45</v>
      </c>
      <c r="E10" s="13">
        <v>12</v>
      </c>
      <c r="F10" s="13">
        <v>50</v>
      </c>
      <c r="G10" s="16">
        <v>45302</v>
      </c>
      <c r="I10" s="23">
        <f>SUMPRODUCT(Table46[[#This Row],[Quantity]]*Table46[[#This Row],[UnitPrice]])</f>
        <v>600</v>
      </c>
    </row>
    <row r="11" spans="1:9" ht="15.75" thickBot="1" x14ac:dyDescent="0.3">
      <c r="A11" s="15">
        <v>1007</v>
      </c>
      <c r="B11" s="13" t="s">
        <v>57</v>
      </c>
      <c r="C11" s="13" t="s">
        <v>50</v>
      </c>
      <c r="D11" s="13" t="s">
        <v>58</v>
      </c>
      <c r="E11" s="13">
        <v>25</v>
      </c>
      <c r="F11" s="13">
        <v>8</v>
      </c>
      <c r="G11" s="16">
        <v>45304</v>
      </c>
      <c r="I11" s="23">
        <f>SUMPRODUCT(Table46[[#This Row],[Quantity]]*Table46[[#This Row],[UnitPrice]])</f>
        <v>200</v>
      </c>
    </row>
    <row r="12" spans="1:9" ht="15.75" thickBot="1" x14ac:dyDescent="0.3">
      <c r="A12" s="15">
        <v>1008</v>
      </c>
      <c r="B12" s="13" t="s">
        <v>59</v>
      </c>
      <c r="C12" s="13" t="s">
        <v>53</v>
      </c>
      <c r="D12" s="13" t="s">
        <v>48</v>
      </c>
      <c r="E12" s="13">
        <v>18</v>
      </c>
      <c r="F12" s="13">
        <v>10</v>
      </c>
      <c r="G12" s="16">
        <v>45306</v>
      </c>
      <c r="I12" s="23">
        <f>SUMPRODUCT(Table46[[#This Row],[Quantity]]*Table46[[#This Row],[UnitPrice]])</f>
        <v>180</v>
      </c>
    </row>
    <row r="13" spans="1:9" ht="15.75" thickBot="1" x14ac:dyDescent="0.3">
      <c r="A13" s="15">
        <v>1009</v>
      </c>
      <c r="B13" s="13" t="s">
        <v>60</v>
      </c>
      <c r="C13" s="13" t="s">
        <v>44</v>
      </c>
      <c r="D13" s="13" t="s">
        <v>51</v>
      </c>
      <c r="E13" s="13">
        <v>22</v>
      </c>
      <c r="F13" s="13">
        <v>25</v>
      </c>
      <c r="G13" s="16">
        <v>45308</v>
      </c>
      <c r="I13" s="23">
        <f>SUMPRODUCT(Table46[[#This Row],[Quantity]]*Table46[[#This Row],[UnitPrice]])</f>
        <v>550</v>
      </c>
    </row>
    <row r="14" spans="1:9" ht="15.75" thickBot="1" x14ac:dyDescent="0.3">
      <c r="A14" s="15">
        <v>1010</v>
      </c>
      <c r="B14" s="13" t="s">
        <v>61</v>
      </c>
      <c r="C14" s="13" t="s">
        <v>47</v>
      </c>
      <c r="D14" s="13" t="s">
        <v>45</v>
      </c>
      <c r="E14" s="13">
        <v>8</v>
      </c>
      <c r="F14" s="13">
        <v>50</v>
      </c>
      <c r="G14" s="16">
        <v>45309</v>
      </c>
      <c r="I14" s="23">
        <f>SUMPRODUCT(Table46[[#This Row],[Quantity]]*Table46[[#This Row],[UnitPrice]])</f>
        <v>400</v>
      </c>
    </row>
    <row r="15" spans="1:9" ht="15.75" thickBot="1" x14ac:dyDescent="0.3">
      <c r="A15" s="15">
        <v>1011</v>
      </c>
      <c r="B15" s="13" t="s">
        <v>62</v>
      </c>
      <c r="C15" s="13" t="s">
        <v>50</v>
      </c>
      <c r="D15" s="13" t="s">
        <v>55</v>
      </c>
      <c r="E15" s="13">
        <v>40</v>
      </c>
      <c r="F15" s="13">
        <v>5</v>
      </c>
      <c r="G15" s="16">
        <v>45310</v>
      </c>
      <c r="I15" s="23">
        <f>SUMPRODUCT(Table46[[#This Row],[Quantity]]*Table46[[#This Row],[UnitPrice]])</f>
        <v>200</v>
      </c>
    </row>
    <row r="16" spans="1:9" ht="30.75" thickBot="1" x14ac:dyDescent="0.3">
      <c r="A16" s="15">
        <v>1012</v>
      </c>
      <c r="B16" s="13" t="s">
        <v>63</v>
      </c>
      <c r="C16" s="13" t="s">
        <v>53</v>
      </c>
      <c r="D16" s="13" t="s">
        <v>58</v>
      </c>
      <c r="E16" s="13">
        <v>35</v>
      </c>
      <c r="F16" s="13">
        <v>8</v>
      </c>
      <c r="G16" s="16">
        <v>45311</v>
      </c>
      <c r="I16" s="23">
        <f>SUMPRODUCT(Table46[[#This Row],[Quantity]]*Table46[[#This Row],[UnitPrice]])</f>
        <v>280</v>
      </c>
    </row>
    <row r="17" spans="1:9" ht="15.75" thickBot="1" x14ac:dyDescent="0.3">
      <c r="A17" s="15">
        <v>1013</v>
      </c>
      <c r="B17" s="13" t="s">
        <v>64</v>
      </c>
      <c r="C17" s="13" t="s">
        <v>44</v>
      </c>
      <c r="D17" s="13" t="s">
        <v>45</v>
      </c>
      <c r="E17" s="13">
        <v>14</v>
      </c>
      <c r="F17" s="13">
        <v>50</v>
      </c>
      <c r="G17" s="16">
        <v>45313</v>
      </c>
      <c r="I17" s="23">
        <f>SUMPRODUCT(Table46[[#This Row],[Quantity]]*Table46[[#This Row],[UnitPrice]])</f>
        <v>700</v>
      </c>
    </row>
    <row r="18" spans="1:9" ht="15.75" thickBot="1" x14ac:dyDescent="0.3">
      <c r="A18" s="15">
        <v>1014</v>
      </c>
      <c r="B18" s="13" t="s">
        <v>65</v>
      </c>
      <c r="C18" s="13" t="s">
        <v>47</v>
      </c>
      <c r="D18" s="13" t="s">
        <v>48</v>
      </c>
      <c r="E18" s="13">
        <v>28</v>
      </c>
      <c r="F18" s="13">
        <v>10</v>
      </c>
      <c r="G18" s="16">
        <v>45314</v>
      </c>
      <c r="I18" s="23">
        <f>SUMPRODUCT(Table46[[#This Row],[Quantity]]*Table46[[#This Row],[UnitPrice]])</f>
        <v>280</v>
      </c>
    </row>
    <row r="19" spans="1:9" ht="15.75" thickBot="1" x14ac:dyDescent="0.3">
      <c r="A19" s="15">
        <v>1015</v>
      </c>
      <c r="B19" s="13" t="s">
        <v>66</v>
      </c>
      <c r="C19" s="13" t="s">
        <v>50</v>
      </c>
      <c r="D19" s="13" t="s">
        <v>51</v>
      </c>
      <c r="E19" s="13">
        <v>12</v>
      </c>
      <c r="F19" s="13">
        <v>25</v>
      </c>
      <c r="G19" s="16">
        <v>45315</v>
      </c>
      <c r="I19" s="23">
        <f>SUMPRODUCT(Table46[[#This Row],[Quantity]]*Table46[[#This Row],[UnitPrice]])</f>
        <v>300</v>
      </c>
    </row>
    <row r="20" spans="1:9" ht="15.75" thickBot="1" x14ac:dyDescent="0.3">
      <c r="A20" s="15">
        <v>1016</v>
      </c>
      <c r="B20" s="13" t="s">
        <v>67</v>
      </c>
      <c r="C20" s="13" t="s">
        <v>53</v>
      </c>
      <c r="D20" s="13" t="s">
        <v>55</v>
      </c>
      <c r="E20" s="13">
        <v>25</v>
      </c>
      <c r="F20" s="13">
        <v>5</v>
      </c>
      <c r="G20" s="16">
        <v>45317</v>
      </c>
      <c r="I20" s="23">
        <f>SUMPRODUCT(Table46[[#This Row],[Quantity]]*Table46[[#This Row],[UnitPrice]])</f>
        <v>125</v>
      </c>
    </row>
    <row r="21" spans="1:9" ht="15.75" thickBot="1" x14ac:dyDescent="0.3">
      <c r="A21" s="15">
        <v>1017</v>
      </c>
      <c r="B21" s="13" t="s">
        <v>68</v>
      </c>
      <c r="C21" s="13" t="s">
        <v>44</v>
      </c>
      <c r="D21" s="13" t="s">
        <v>58</v>
      </c>
      <c r="E21" s="13">
        <v>20</v>
      </c>
      <c r="F21" s="13">
        <v>8</v>
      </c>
      <c r="G21" s="16">
        <v>45319</v>
      </c>
      <c r="I21" s="23">
        <f>SUMPRODUCT(Table46[[#This Row],[Quantity]]*Table46[[#This Row],[UnitPrice]])</f>
        <v>160</v>
      </c>
    </row>
    <row r="22" spans="1:9" ht="15.75" thickBot="1" x14ac:dyDescent="0.3">
      <c r="A22" s="15">
        <v>1018</v>
      </c>
      <c r="B22" s="13" t="s">
        <v>69</v>
      </c>
      <c r="C22" s="13" t="s">
        <v>47</v>
      </c>
      <c r="D22" s="13" t="s">
        <v>45</v>
      </c>
      <c r="E22" s="13">
        <v>10</v>
      </c>
      <c r="F22" s="13">
        <v>50</v>
      </c>
      <c r="G22" s="16">
        <v>45320</v>
      </c>
      <c r="I22" s="23">
        <f>SUMPRODUCT(Table46[[#This Row],[Quantity]]*Table46[[#This Row],[UnitPrice]])</f>
        <v>500</v>
      </c>
    </row>
    <row r="23" spans="1:9" ht="15.75" thickBot="1" x14ac:dyDescent="0.3">
      <c r="A23" s="15">
        <v>1019</v>
      </c>
      <c r="B23" s="13" t="s">
        <v>70</v>
      </c>
      <c r="C23" s="13" t="s">
        <v>50</v>
      </c>
      <c r="D23" s="13" t="s">
        <v>48</v>
      </c>
      <c r="E23" s="13">
        <v>15</v>
      </c>
      <c r="F23" s="13">
        <v>10</v>
      </c>
      <c r="G23" s="16">
        <v>45321</v>
      </c>
      <c r="I23" s="23">
        <f>SUMPRODUCT(Table46[[#This Row],[Quantity]]*Table46[[#This Row],[UnitPrice]])</f>
        <v>150</v>
      </c>
    </row>
    <row r="24" spans="1:9" ht="15.75" thickBot="1" x14ac:dyDescent="0.3">
      <c r="A24" s="15">
        <v>1020</v>
      </c>
      <c r="B24" s="13" t="s">
        <v>71</v>
      </c>
      <c r="C24" s="13" t="s">
        <v>53</v>
      </c>
      <c r="D24" s="13" t="s">
        <v>51</v>
      </c>
      <c r="E24" s="13">
        <v>18</v>
      </c>
      <c r="F24" s="13">
        <v>25</v>
      </c>
      <c r="G24" s="16">
        <v>45323</v>
      </c>
      <c r="I24" s="23">
        <f>SUMPRODUCT(Table46[[#This Row],[Quantity]]*Table46[[#This Row],[UnitPrice]])</f>
        <v>450</v>
      </c>
    </row>
    <row r="25" spans="1:9" ht="15.75" thickBot="1" x14ac:dyDescent="0.3">
      <c r="A25" s="15">
        <v>1021</v>
      </c>
      <c r="B25" s="13" t="s">
        <v>72</v>
      </c>
      <c r="C25" s="13" t="s">
        <v>44</v>
      </c>
      <c r="D25" s="13" t="s">
        <v>45</v>
      </c>
      <c r="E25" s="13">
        <v>9</v>
      </c>
      <c r="F25" s="13">
        <v>50</v>
      </c>
      <c r="G25" s="16">
        <v>45324</v>
      </c>
      <c r="I25" s="23">
        <f>SUMPRODUCT(Table46[[#This Row],[Quantity]]*Table46[[#This Row],[UnitPrice]])</f>
        <v>450</v>
      </c>
    </row>
    <row r="26" spans="1:9" ht="15.75" thickBot="1" x14ac:dyDescent="0.3">
      <c r="A26" s="15">
        <v>1022</v>
      </c>
      <c r="B26" s="13" t="s">
        <v>73</v>
      </c>
      <c r="C26" s="13" t="s">
        <v>47</v>
      </c>
      <c r="D26" s="13" t="s">
        <v>55</v>
      </c>
      <c r="E26" s="13">
        <v>35</v>
      </c>
      <c r="F26" s="13">
        <v>5</v>
      </c>
      <c r="G26" s="16">
        <v>45325</v>
      </c>
      <c r="I26" s="23">
        <f>SUMPRODUCT(Table46[[#This Row],[Quantity]]*Table46[[#This Row],[UnitPrice]])</f>
        <v>175</v>
      </c>
    </row>
    <row r="27" spans="1:9" ht="15.75" thickBot="1" x14ac:dyDescent="0.3">
      <c r="A27" s="15">
        <v>1023</v>
      </c>
      <c r="B27" s="13" t="s">
        <v>74</v>
      </c>
      <c r="C27" s="13" t="s">
        <v>50</v>
      </c>
      <c r="D27" s="13" t="s">
        <v>58</v>
      </c>
      <c r="E27" s="13">
        <v>30</v>
      </c>
      <c r="F27" s="13">
        <v>8</v>
      </c>
      <c r="G27" s="16">
        <v>45326</v>
      </c>
      <c r="I27" s="23">
        <f>SUMPRODUCT(Table46[[#This Row],[Quantity]]*Table46[[#This Row],[UnitPrice]])</f>
        <v>240</v>
      </c>
    </row>
    <row r="28" spans="1:9" ht="15.75" thickBot="1" x14ac:dyDescent="0.3">
      <c r="A28" s="15">
        <v>1024</v>
      </c>
      <c r="B28" s="13" t="s">
        <v>75</v>
      </c>
      <c r="C28" s="13" t="s">
        <v>53</v>
      </c>
      <c r="D28" s="13" t="s">
        <v>45</v>
      </c>
      <c r="E28" s="13">
        <v>11</v>
      </c>
      <c r="F28" s="13">
        <v>50</v>
      </c>
      <c r="G28" s="16">
        <v>45328</v>
      </c>
      <c r="I28" s="23">
        <f>SUMPRODUCT(Table46[[#This Row],[Quantity]]*Table46[[#This Row],[UnitPrice]])</f>
        <v>550</v>
      </c>
    </row>
    <row r="29" spans="1:9" ht="15.75" thickBot="1" x14ac:dyDescent="0.3">
      <c r="A29" s="15">
        <v>1025</v>
      </c>
      <c r="B29" s="13" t="s">
        <v>76</v>
      </c>
      <c r="C29" s="13" t="s">
        <v>44</v>
      </c>
      <c r="D29" s="13" t="s">
        <v>48</v>
      </c>
      <c r="E29" s="13">
        <v>14</v>
      </c>
      <c r="F29" s="13">
        <v>10</v>
      </c>
      <c r="G29" s="16">
        <v>45329</v>
      </c>
      <c r="I29" s="23">
        <f>SUMPRODUCT(Table46[[#This Row],[Quantity]]*Table46[[#This Row],[UnitPrice]])</f>
        <v>140</v>
      </c>
    </row>
    <row r="30" spans="1:9" ht="15.75" thickBot="1" x14ac:dyDescent="0.3">
      <c r="A30" s="15">
        <v>1026</v>
      </c>
      <c r="B30" s="13" t="s">
        <v>77</v>
      </c>
      <c r="C30" s="13" t="s">
        <v>47</v>
      </c>
      <c r="D30" s="13" t="s">
        <v>51</v>
      </c>
      <c r="E30" s="13">
        <v>16</v>
      </c>
      <c r="F30" s="13">
        <v>25</v>
      </c>
      <c r="G30" s="16">
        <v>45330</v>
      </c>
      <c r="I30" s="23">
        <f>SUMPRODUCT(Table46[[#This Row],[Quantity]]*Table46[[#This Row],[UnitPrice]])</f>
        <v>400</v>
      </c>
    </row>
    <row r="31" spans="1:9" ht="15.75" thickBot="1" x14ac:dyDescent="0.3">
      <c r="A31" s="15">
        <v>1027</v>
      </c>
      <c r="B31" s="13" t="s">
        <v>78</v>
      </c>
      <c r="C31" s="13" t="s">
        <v>50</v>
      </c>
      <c r="D31" s="13" t="s">
        <v>55</v>
      </c>
      <c r="E31" s="13">
        <v>22</v>
      </c>
      <c r="F31" s="13">
        <v>5</v>
      </c>
      <c r="G31" s="16">
        <v>45331</v>
      </c>
      <c r="I31" s="23">
        <f>SUMPRODUCT(Table46[[#This Row],[Quantity]]*Table46[[#This Row],[UnitPrice]])</f>
        <v>110</v>
      </c>
    </row>
    <row r="32" spans="1:9" ht="15.75" thickBot="1" x14ac:dyDescent="0.3">
      <c r="A32" s="15">
        <v>1028</v>
      </c>
      <c r="B32" s="13" t="s">
        <v>79</v>
      </c>
      <c r="C32" s="13" t="s">
        <v>53</v>
      </c>
      <c r="D32" s="13" t="s">
        <v>58</v>
      </c>
      <c r="E32" s="13">
        <v>27</v>
      </c>
      <c r="F32" s="13">
        <v>8</v>
      </c>
      <c r="G32" s="16">
        <v>45332</v>
      </c>
      <c r="I32" s="23">
        <f>SUMPRODUCT(Table46[[#This Row],[Quantity]]*Table46[[#This Row],[UnitPrice]])</f>
        <v>216</v>
      </c>
    </row>
    <row r="33" spans="1:9" ht="30.75" thickBot="1" x14ac:dyDescent="0.3">
      <c r="A33" s="15">
        <v>1029</v>
      </c>
      <c r="B33" s="13" t="s">
        <v>80</v>
      </c>
      <c r="C33" s="13" t="s">
        <v>44</v>
      </c>
      <c r="D33" s="13" t="s">
        <v>45</v>
      </c>
      <c r="E33" s="13">
        <v>13</v>
      </c>
      <c r="F33" s="13">
        <v>50</v>
      </c>
      <c r="G33" s="16">
        <v>45334</v>
      </c>
      <c r="I33" s="23">
        <f>SUMPRODUCT(Table46[[#This Row],[Quantity]]*Table46[[#This Row],[UnitPrice]])</f>
        <v>650</v>
      </c>
    </row>
    <row r="34" spans="1:9" ht="15.75" thickBot="1" x14ac:dyDescent="0.3">
      <c r="A34" s="15">
        <v>1030</v>
      </c>
      <c r="B34" s="13" t="s">
        <v>81</v>
      </c>
      <c r="C34" s="13" t="s">
        <v>47</v>
      </c>
      <c r="D34" s="13" t="s">
        <v>48</v>
      </c>
      <c r="E34" s="13">
        <v>32</v>
      </c>
      <c r="F34" s="13">
        <v>10</v>
      </c>
      <c r="G34" s="16">
        <v>45335</v>
      </c>
      <c r="I34" s="23">
        <f>SUMPRODUCT(Table46[[#This Row],[Quantity]]*Table46[[#This Row],[UnitPrice]])</f>
        <v>320</v>
      </c>
    </row>
    <row r="35" spans="1:9" ht="15.75" thickBot="1" x14ac:dyDescent="0.3">
      <c r="A35" s="15">
        <v>1031</v>
      </c>
      <c r="B35" s="13" t="s">
        <v>82</v>
      </c>
      <c r="C35" s="13" t="s">
        <v>50</v>
      </c>
      <c r="D35" s="13" t="s">
        <v>51</v>
      </c>
      <c r="E35" s="13">
        <v>10</v>
      </c>
      <c r="F35" s="13">
        <v>25</v>
      </c>
      <c r="G35" s="16">
        <v>45336</v>
      </c>
      <c r="I35" s="23">
        <f>SUMPRODUCT(Table46[[#This Row],[Quantity]]*Table46[[#This Row],[UnitPrice]])</f>
        <v>250</v>
      </c>
    </row>
    <row r="36" spans="1:9" ht="15.75" thickBot="1" x14ac:dyDescent="0.3">
      <c r="A36" s="15">
        <v>1032</v>
      </c>
      <c r="B36" s="13" t="s">
        <v>83</v>
      </c>
      <c r="C36" s="13" t="s">
        <v>53</v>
      </c>
      <c r="D36" s="13" t="s">
        <v>55</v>
      </c>
      <c r="E36" s="13">
        <v>18</v>
      </c>
      <c r="F36" s="13">
        <v>5</v>
      </c>
      <c r="G36" s="16">
        <v>45338</v>
      </c>
      <c r="I36" s="23">
        <f>SUMPRODUCT(Table46[[#This Row],[Quantity]]*Table46[[#This Row],[UnitPrice]])</f>
        <v>90</v>
      </c>
    </row>
    <row r="37" spans="1:9" ht="15.75" thickBot="1" x14ac:dyDescent="0.3">
      <c r="A37" s="15">
        <v>1033</v>
      </c>
      <c r="B37" s="13" t="s">
        <v>84</v>
      </c>
      <c r="C37" s="13" t="s">
        <v>44</v>
      </c>
      <c r="D37" s="13" t="s">
        <v>58</v>
      </c>
      <c r="E37" s="13">
        <v>22</v>
      </c>
      <c r="F37" s="13">
        <v>8</v>
      </c>
      <c r="G37" s="16">
        <v>45339</v>
      </c>
      <c r="I37" s="23">
        <f>SUMPRODUCT(Table46[[#This Row],[Quantity]]*Table46[[#This Row],[UnitPrice]])</f>
        <v>176</v>
      </c>
    </row>
    <row r="38" spans="1:9" ht="15.75" thickBot="1" x14ac:dyDescent="0.3">
      <c r="A38" s="15">
        <v>1034</v>
      </c>
      <c r="B38" s="13" t="s">
        <v>85</v>
      </c>
      <c r="C38" s="13" t="s">
        <v>47</v>
      </c>
      <c r="D38" s="13" t="s">
        <v>45</v>
      </c>
      <c r="E38" s="13">
        <v>17</v>
      </c>
      <c r="F38" s="13">
        <v>50</v>
      </c>
      <c r="G38" s="16">
        <v>45340</v>
      </c>
      <c r="I38" s="23">
        <f>SUMPRODUCT(Table46[[#This Row],[Quantity]]*Table46[[#This Row],[UnitPrice]])</f>
        <v>850</v>
      </c>
    </row>
    <row r="39" spans="1:9" ht="15.75" thickBot="1" x14ac:dyDescent="0.3">
      <c r="A39" s="15">
        <v>1035</v>
      </c>
      <c r="B39" s="13" t="s">
        <v>86</v>
      </c>
      <c r="C39" s="13" t="s">
        <v>50</v>
      </c>
      <c r="D39" s="13" t="s">
        <v>48</v>
      </c>
      <c r="E39" s="13">
        <v>19</v>
      </c>
      <c r="F39" s="13">
        <v>10</v>
      </c>
      <c r="G39" s="16">
        <v>45341</v>
      </c>
      <c r="I39" s="23">
        <f>SUMPRODUCT(Table46[[#This Row],[Quantity]]*Table46[[#This Row],[UnitPrice]])</f>
        <v>190</v>
      </c>
    </row>
    <row r="40" spans="1:9" ht="15.75" thickBot="1" x14ac:dyDescent="0.3">
      <c r="A40" s="15">
        <v>1036</v>
      </c>
      <c r="B40" s="13" t="s">
        <v>87</v>
      </c>
      <c r="C40" s="13" t="s">
        <v>53</v>
      </c>
      <c r="D40" s="13" t="s">
        <v>51</v>
      </c>
      <c r="E40" s="13">
        <v>15</v>
      </c>
      <c r="F40" s="13">
        <v>25</v>
      </c>
      <c r="G40" s="16">
        <v>45343</v>
      </c>
      <c r="I40" s="23">
        <f>SUMPRODUCT(Table46[[#This Row],[Quantity]]*Table46[[#This Row],[UnitPrice]])</f>
        <v>375</v>
      </c>
    </row>
    <row r="41" spans="1:9" ht="15.75" thickBot="1" x14ac:dyDescent="0.3">
      <c r="A41" s="15">
        <v>1037</v>
      </c>
      <c r="B41" s="13" t="s">
        <v>88</v>
      </c>
      <c r="C41" s="13" t="s">
        <v>44</v>
      </c>
      <c r="D41" s="13" t="s">
        <v>55</v>
      </c>
      <c r="E41" s="13">
        <v>28</v>
      </c>
      <c r="F41" s="13">
        <v>5</v>
      </c>
      <c r="G41" s="16">
        <v>45344</v>
      </c>
      <c r="I41" s="23">
        <f>SUMPRODUCT(Table46[[#This Row],[Quantity]]*Table46[[#This Row],[UnitPrice]])</f>
        <v>140</v>
      </c>
    </row>
    <row r="42" spans="1:9" ht="15.75" thickBot="1" x14ac:dyDescent="0.3">
      <c r="A42" s="15">
        <v>1038</v>
      </c>
      <c r="B42" s="13" t="s">
        <v>89</v>
      </c>
      <c r="C42" s="13" t="s">
        <v>47</v>
      </c>
      <c r="D42" s="13" t="s">
        <v>58</v>
      </c>
      <c r="E42" s="13">
        <v>24</v>
      </c>
      <c r="F42" s="13">
        <v>8</v>
      </c>
      <c r="G42" s="16">
        <v>45345</v>
      </c>
      <c r="I42" s="23">
        <f>SUMPRODUCT(Table46[[#This Row],[Quantity]]*Table46[[#This Row],[UnitPrice]])</f>
        <v>192</v>
      </c>
    </row>
    <row r="43" spans="1:9" ht="15.75" thickBot="1" x14ac:dyDescent="0.3">
      <c r="A43" s="15">
        <v>1039</v>
      </c>
      <c r="B43" s="13" t="s">
        <v>90</v>
      </c>
      <c r="C43" s="13" t="s">
        <v>50</v>
      </c>
      <c r="D43" s="13" t="s">
        <v>45</v>
      </c>
      <c r="E43" s="13">
        <v>16</v>
      </c>
      <c r="F43" s="13">
        <v>50</v>
      </c>
      <c r="G43" s="16">
        <v>45347</v>
      </c>
      <c r="I43" s="23">
        <f>SUMPRODUCT(Table46[[#This Row],[Quantity]]*Table46[[#This Row],[UnitPrice]])</f>
        <v>800</v>
      </c>
    </row>
    <row r="44" spans="1:9" ht="15.75" thickBot="1" x14ac:dyDescent="0.3">
      <c r="A44" s="15">
        <v>1040</v>
      </c>
      <c r="B44" s="13" t="s">
        <v>91</v>
      </c>
      <c r="C44" s="13" t="s">
        <v>53</v>
      </c>
      <c r="D44" s="13" t="s">
        <v>48</v>
      </c>
      <c r="E44" s="13">
        <v>27</v>
      </c>
      <c r="F44" s="13">
        <v>10</v>
      </c>
      <c r="G44" s="16">
        <v>45348</v>
      </c>
      <c r="I44" s="23">
        <f>SUMPRODUCT(Table46[[#This Row],[Quantity]]*Table46[[#This Row],[UnitPrice]])</f>
        <v>270</v>
      </c>
    </row>
    <row r="45" spans="1:9" ht="15.75" thickBot="1" x14ac:dyDescent="0.3">
      <c r="A45" s="15">
        <v>1041</v>
      </c>
      <c r="B45" s="13" t="s">
        <v>92</v>
      </c>
      <c r="C45" s="13" t="s">
        <v>44</v>
      </c>
      <c r="D45" s="13" t="s">
        <v>51</v>
      </c>
      <c r="E45" s="13">
        <v>21</v>
      </c>
      <c r="F45" s="13">
        <v>25</v>
      </c>
      <c r="G45" s="16">
        <v>45349</v>
      </c>
      <c r="I45" s="23">
        <f>SUMPRODUCT(Table46[[#This Row],[Quantity]]*Table46[[#This Row],[UnitPrice]])</f>
        <v>525</v>
      </c>
    </row>
    <row r="46" spans="1:9" ht="30.75" thickBot="1" x14ac:dyDescent="0.3">
      <c r="A46" s="15">
        <v>1042</v>
      </c>
      <c r="B46" s="13" t="s">
        <v>93</v>
      </c>
      <c r="C46" s="13" t="s">
        <v>47</v>
      </c>
      <c r="D46" s="13" t="s">
        <v>55</v>
      </c>
      <c r="E46" s="13">
        <v>30</v>
      </c>
      <c r="F46" s="13">
        <v>5</v>
      </c>
      <c r="G46" s="16">
        <v>45350</v>
      </c>
      <c r="I46" s="23">
        <f>SUMPRODUCT(Table46[[#This Row],[Quantity]]*Table46[[#This Row],[UnitPrice]])</f>
        <v>150</v>
      </c>
    </row>
    <row r="47" spans="1:9" ht="15.75" thickBot="1" x14ac:dyDescent="0.3">
      <c r="A47" s="15">
        <v>1043</v>
      </c>
      <c r="B47" s="13" t="s">
        <v>94</v>
      </c>
      <c r="C47" s="13" t="s">
        <v>50</v>
      </c>
      <c r="D47" s="13" t="s">
        <v>58</v>
      </c>
      <c r="E47" s="13">
        <v>26</v>
      </c>
      <c r="F47" s="13">
        <v>8</v>
      </c>
      <c r="G47" s="16">
        <v>45352</v>
      </c>
      <c r="I47" s="23">
        <f>SUMPRODUCT(Table46[[#This Row],[Quantity]]*Table46[[#This Row],[UnitPrice]])</f>
        <v>208</v>
      </c>
    </row>
    <row r="48" spans="1:9" ht="15.75" thickBot="1" x14ac:dyDescent="0.3">
      <c r="A48" s="15">
        <v>1044</v>
      </c>
      <c r="B48" s="13" t="s">
        <v>95</v>
      </c>
      <c r="C48" s="13" t="s">
        <v>53</v>
      </c>
      <c r="D48" s="13" t="s">
        <v>45</v>
      </c>
      <c r="E48" s="13">
        <v>14</v>
      </c>
      <c r="F48" s="13">
        <v>50</v>
      </c>
      <c r="G48" s="16">
        <v>45353</v>
      </c>
      <c r="I48" s="23">
        <f>SUMPRODUCT(Table46[[#This Row],[Quantity]]*Table46[[#This Row],[UnitPrice]])</f>
        <v>700</v>
      </c>
    </row>
    <row r="49" spans="1:9" ht="15.75" thickBot="1" x14ac:dyDescent="0.3">
      <c r="A49" s="15">
        <v>1045</v>
      </c>
      <c r="B49" s="13" t="s">
        <v>96</v>
      </c>
      <c r="C49" s="13" t="s">
        <v>44</v>
      </c>
      <c r="D49" s="13" t="s">
        <v>48</v>
      </c>
      <c r="E49" s="13">
        <v>20</v>
      </c>
      <c r="F49" s="13">
        <v>10</v>
      </c>
      <c r="G49" s="16">
        <v>45354</v>
      </c>
      <c r="I49" s="23">
        <f>SUMPRODUCT(Table46[[#This Row],[Quantity]]*Table46[[#This Row],[UnitPrice]])</f>
        <v>200</v>
      </c>
    </row>
    <row r="50" spans="1:9" ht="15.75" thickBot="1" x14ac:dyDescent="0.3">
      <c r="A50" s="15">
        <v>1046</v>
      </c>
      <c r="B50" s="13" t="s">
        <v>97</v>
      </c>
      <c r="C50" s="13" t="s">
        <v>47</v>
      </c>
      <c r="D50" s="13" t="s">
        <v>51</v>
      </c>
      <c r="E50" s="13">
        <v>17</v>
      </c>
      <c r="F50" s="13">
        <v>25</v>
      </c>
      <c r="G50" s="16">
        <v>45355</v>
      </c>
      <c r="I50" s="23">
        <f>SUMPRODUCT(Table46[[#This Row],[Quantity]]*Table46[[#This Row],[UnitPrice]])</f>
        <v>425</v>
      </c>
    </row>
    <row r="51" spans="1:9" ht="15.75" thickBot="1" x14ac:dyDescent="0.3">
      <c r="A51" s="15">
        <v>1047</v>
      </c>
      <c r="B51" s="13" t="s">
        <v>98</v>
      </c>
      <c r="C51" s="13" t="s">
        <v>50</v>
      </c>
      <c r="D51" s="13" t="s">
        <v>55</v>
      </c>
      <c r="E51" s="13">
        <v>19</v>
      </c>
      <c r="F51" s="13">
        <v>5</v>
      </c>
      <c r="G51" s="16">
        <v>45356</v>
      </c>
      <c r="I51" s="23">
        <f>SUMPRODUCT(Table46[[#This Row],[Quantity]]*Table46[[#This Row],[UnitPrice]])</f>
        <v>95</v>
      </c>
    </row>
    <row r="52" spans="1:9" ht="15.75" thickBot="1" x14ac:dyDescent="0.3">
      <c r="A52" s="15">
        <v>1048</v>
      </c>
      <c r="B52" s="13" t="s">
        <v>99</v>
      </c>
      <c r="C52" s="13" t="s">
        <v>53</v>
      </c>
      <c r="D52" s="13" t="s">
        <v>58</v>
      </c>
      <c r="E52" s="13">
        <v>32</v>
      </c>
      <c r="F52" s="13">
        <v>8</v>
      </c>
      <c r="G52" s="16">
        <v>45357</v>
      </c>
      <c r="I52" s="23">
        <f>SUMPRODUCT(Table46[[#This Row],[Quantity]]*Table46[[#This Row],[UnitPrice]])</f>
        <v>256</v>
      </c>
    </row>
    <row r="53" spans="1:9" ht="15.75" thickBot="1" x14ac:dyDescent="0.3">
      <c r="A53" s="15">
        <v>1049</v>
      </c>
      <c r="B53" s="13" t="s">
        <v>100</v>
      </c>
      <c r="C53" s="13" t="s">
        <v>44</v>
      </c>
      <c r="D53" s="13" t="s">
        <v>45</v>
      </c>
      <c r="E53" s="13">
        <v>12</v>
      </c>
      <c r="F53" s="13">
        <v>50</v>
      </c>
      <c r="G53" s="16">
        <v>45358</v>
      </c>
      <c r="I53" s="23">
        <f>SUMPRODUCT(Table46[[#This Row],[Quantity]]*Table46[[#This Row],[UnitPrice]])</f>
        <v>600</v>
      </c>
    </row>
    <row r="54" spans="1:9" ht="30" x14ac:dyDescent="0.25">
      <c r="A54" s="20">
        <v>1050</v>
      </c>
      <c r="B54" s="21" t="s">
        <v>101</v>
      </c>
      <c r="C54" s="21" t="s">
        <v>47</v>
      </c>
      <c r="D54" s="21" t="s">
        <v>48</v>
      </c>
      <c r="E54" s="21">
        <v>25</v>
      </c>
      <c r="F54" s="21">
        <v>10</v>
      </c>
      <c r="G54" s="22">
        <v>45359</v>
      </c>
      <c r="I54" s="23">
        <f>SUMPRODUCT(Table46[[#This Row],[Quantity]]*Table46[[#This Row],[UnitPrice]])</f>
        <v>250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"/>
  <sheetViews>
    <sheetView tabSelected="1" workbookViewId="0">
      <selection activeCell="O20" sqref="O20"/>
    </sheetView>
  </sheetViews>
  <sheetFormatPr defaultRowHeight="15" x14ac:dyDescent="0.25"/>
  <cols>
    <col min="2" max="2" width="13.42578125" bestFit="1" customWidth="1"/>
    <col min="3" max="3" width="11.7109375" bestFit="1" customWidth="1"/>
    <col min="4" max="4" width="12.42578125" bestFit="1" customWidth="1"/>
    <col min="5" max="5" width="13.28515625" bestFit="1" customWidth="1"/>
    <col min="6" max="6" width="12.7109375" bestFit="1" customWidth="1"/>
    <col min="7" max="7" width="13.7109375" bestFit="1" customWidth="1"/>
    <col min="9" max="9" width="16" bestFit="1" customWidth="1"/>
  </cols>
  <sheetData>
    <row r="1" spans="1:9" x14ac:dyDescent="0.25">
      <c r="A1" t="s">
        <v>111</v>
      </c>
    </row>
    <row r="2" spans="1:9" x14ac:dyDescent="0.25">
      <c r="A2" t="s">
        <v>112</v>
      </c>
    </row>
    <row r="4" spans="1:9" ht="31.5" thickBot="1" x14ac:dyDescent="0.35">
      <c r="A4" s="17" t="s">
        <v>36</v>
      </c>
      <c r="B4" s="18" t="s">
        <v>37</v>
      </c>
      <c r="C4" s="18" t="s">
        <v>38</v>
      </c>
      <c r="D4" s="18" t="s">
        <v>39</v>
      </c>
      <c r="E4" s="18" t="s">
        <v>40</v>
      </c>
      <c r="F4" s="18" t="s">
        <v>41</v>
      </c>
      <c r="G4" s="19" t="s">
        <v>42</v>
      </c>
      <c r="I4" s="24" t="s">
        <v>107</v>
      </c>
    </row>
    <row r="5" spans="1:9" ht="15.75" thickBot="1" x14ac:dyDescent="0.3">
      <c r="A5" s="15">
        <v>1001</v>
      </c>
      <c r="B5" s="13" t="s">
        <v>43</v>
      </c>
      <c r="C5" s="13" t="s">
        <v>44</v>
      </c>
      <c r="D5" s="13" t="s">
        <v>45</v>
      </c>
      <c r="E5" s="13">
        <v>10</v>
      </c>
      <c r="F5" s="13">
        <v>50</v>
      </c>
      <c r="G5" s="16">
        <v>45296</v>
      </c>
      <c r="I5" s="23">
        <f>SUMPRODUCT(Table46[[#This Row],[Quantity]]*Table46[[#This Row],[UnitPrice]])</f>
        <v>500</v>
      </c>
    </row>
    <row r="6" spans="1:9" ht="15.75" thickBot="1" x14ac:dyDescent="0.3">
      <c r="A6" s="15">
        <v>1002</v>
      </c>
      <c r="B6" s="13" t="s">
        <v>46</v>
      </c>
      <c r="C6" s="13" t="s">
        <v>47</v>
      </c>
      <c r="D6" s="13" t="s">
        <v>48</v>
      </c>
      <c r="E6" s="13">
        <v>20</v>
      </c>
      <c r="F6" s="13">
        <v>10</v>
      </c>
      <c r="G6" s="16">
        <v>45297</v>
      </c>
      <c r="I6" s="23">
        <f>SUMPRODUCT(Table46[[#This Row],[Quantity]]*Table46[[#This Row],[UnitPrice]])</f>
        <v>200</v>
      </c>
    </row>
    <row r="7" spans="1:9" ht="15.75" thickBot="1" x14ac:dyDescent="0.3">
      <c r="A7" s="15">
        <v>1003</v>
      </c>
      <c r="B7" s="13" t="s">
        <v>49</v>
      </c>
      <c r="C7" s="13" t="s">
        <v>50</v>
      </c>
      <c r="D7" s="13" t="s">
        <v>51</v>
      </c>
      <c r="E7" s="13">
        <v>15</v>
      </c>
      <c r="F7" s="13">
        <v>25</v>
      </c>
      <c r="G7" s="16">
        <v>45298</v>
      </c>
      <c r="I7" s="23">
        <f>SUMPRODUCT(Table46[[#This Row],[Quantity]]*Table46[[#This Row],[UnitPrice]])</f>
        <v>375</v>
      </c>
    </row>
    <row r="8" spans="1:9" ht="15.75" thickBot="1" x14ac:dyDescent="0.3">
      <c r="A8" s="15">
        <v>1004</v>
      </c>
      <c r="B8" s="13" t="s">
        <v>52</v>
      </c>
      <c r="C8" s="13" t="s">
        <v>53</v>
      </c>
      <c r="D8" s="13" t="s">
        <v>45</v>
      </c>
      <c r="E8" s="13">
        <v>5</v>
      </c>
      <c r="F8" s="13">
        <v>50</v>
      </c>
      <c r="G8" s="16">
        <v>45299</v>
      </c>
      <c r="I8" s="23">
        <f>SUMPRODUCT(Table46[[#This Row],[Quantity]]*Table46[[#This Row],[UnitPrice]])</f>
        <v>250</v>
      </c>
    </row>
    <row r="9" spans="1:9" ht="15.75" thickBot="1" x14ac:dyDescent="0.3">
      <c r="A9" s="15">
        <v>1005</v>
      </c>
      <c r="B9" s="13" t="s">
        <v>54</v>
      </c>
      <c r="C9" s="13" t="s">
        <v>44</v>
      </c>
      <c r="D9" s="13" t="s">
        <v>55</v>
      </c>
      <c r="E9" s="13">
        <v>30</v>
      </c>
      <c r="F9" s="13">
        <v>5</v>
      </c>
      <c r="G9" s="16">
        <v>45301</v>
      </c>
      <c r="I9" s="23">
        <f>SUMPRODUCT(Table46[[#This Row],[Quantity]]*Table46[[#This Row],[UnitPrice]])</f>
        <v>150</v>
      </c>
    </row>
    <row r="10" spans="1:9" ht="15.75" thickBot="1" x14ac:dyDescent="0.3">
      <c r="A10" s="15">
        <v>1006</v>
      </c>
      <c r="B10" s="13" t="s">
        <v>56</v>
      </c>
      <c r="C10" s="13" t="s">
        <v>47</v>
      </c>
      <c r="D10" s="13" t="s">
        <v>45</v>
      </c>
      <c r="E10" s="13">
        <v>12</v>
      </c>
      <c r="F10" s="13">
        <v>50</v>
      </c>
      <c r="G10" s="16">
        <v>45302</v>
      </c>
      <c r="I10" s="23">
        <f>SUMPRODUCT(Table46[[#This Row],[Quantity]]*Table46[[#This Row],[UnitPrice]])</f>
        <v>600</v>
      </c>
    </row>
    <row r="11" spans="1:9" ht="15.75" thickBot="1" x14ac:dyDescent="0.3">
      <c r="A11" s="15">
        <v>1007</v>
      </c>
      <c r="B11" s="13" t="s">
        <v>57</v>
      </c>
      <c r="C11" s="13" t="s">
        <v>50</v>
      </c>
      <c r="D11" s="13" t="s">
        <v>58</v>
      </c>
      <c r="E11" s="13">
        <v>25</v>
      </c>
      <c r="F11" s="13">
        <v>8</v>
      </c>
      <c r="G11" s="16">
        <v>45304</v>
      </c>
      <c r="I11" s="23">
        <f>SUMPRODUCT(Table46[[#This Row],[Quantity]]*Table46[[#This Row],[UnitPrice]])</f>
        <v>200</v>
      </c>
    </row>
    <row r="12" spans="1:9" ht="15.75" thickBot="1" x14ac:dyDescent="0.3">
      <c r="A12" s="15">
        <v>1008</v>
      </c>
      <c r="B12" s="13" t="s">
        <v>59</v>
      </c>
      <c r="C12" s="13" t="s">
        <v>53</v>
      </c>
      <c r="D12" s="13" t="s">
        <v>48</v>
      </c>
      <c r="E12" s="13">
        <v>18</v>
      </c>
      <c r="F12" s="13">
        <v>10</v>
      </c>
      <c r="G12" s="16">
        <v>45306</v>
      </c>
      <c r="I12" s="23">
        <f>SUMPRODUCT(Table46[[#This Row],[Quantity]]*Table46[[#This Row],[UnitPrice]])</f>
        <v>180</v>
      </c>
    </row>
    <row r="13" spans="1:9" ht="15.75" thickBot="1" x14ac:dyDescent="0.3">
      <c r="A13" s="15">
        <v>1009</v>
      </c>
      <c r="B13" s="13" t="s">
        <v>60</v>
      </c>
      <c r="C13" s="13" t="s">
        <v>44</v>
      </c>
      <c r="D13" s="13" t="s">
        <v>51</v>
      </c>
      <c r="E13" s="13">
        <v>22</v>
      </c>
      <c r="F13" s="13">
        <v>25</v>
      </c>
      <c r="G13" s="16">
        <v>45308</v>
      </c>
      <c r="I13" s="23">
        <f>SUMPRODUCT(Table46[[#This Row],[Quantity]]*Table46[[#This Row],[UnitPrice]])</f>
        <v>550</v>
      </c>
    </row>
    <row r="14" spans="1:9" ht="15.75" thickBot="1" x14ac:dyDescent="0.3">
      <c r="A14" s="15">
        <v>1010</v>
      </c>
      <c r="B14" s="13" t="s">
        <v>61</v>
      </c>
      <c r="C14" s="13" t="s">
        <v>47</v>
      </c>
      <c r="D14" s="13" t="s">
        <v>45</v>
      </c>
      <c r="E14" s="13">
        <v>8</v>
      </c>
      <c r="F14" s="13">
        <v>50</v>
      </c>
      <c r="G14" s="16">
        <v>45309</v>
      </c>
      <c r="I14" s="23">
        <f>SUMPRODUCT(Table46[[#This Row],[Quantity]]*Table46[[#This Row],[UnitPrice]])</f>
        <v>400</v>
      </c>
    </row>
    <row r="15" spans="1:9" ht="15.75" thickBot="1" x14ac:dyDescent="0.3">
      <c r="A15" s="15">
        <v>1011</v>
      </c>
      <c r="B15" s="13" t="s">
        <v>62</v>
      </c>
      <c r="C15" s="13" t="s">
        <v>50</v>
      </c>
      <c r="D15" s="13" t="s">
        <v>55</v>
      </c>
      <c r="E15" s="13">
        <v>40</v>
      </c>
      <c r="F15" s="13">
        <v>5</v>
      </c>
      <c r="G15" s="16">
        <v>45310</v>
      </c>
      <c r="I15" s="23">
        <f>SUMPRODUCT(Table46[[#This Row],[Quantity]]*Table46[[#This Row],[UnitPrice]])</f>
        <v>200</v>
      </c>
    </row>
    <row r="16" spans="1:9" ht="30.75" thickBot="1" x14ac:dyDescent="0.3">
      <c r="A16" s="15">
        <v>1012</v>
      </c>
      <c r="B16" s="13" t="s">
        <v>63</v>
      </c>
      <c r="C16" s="13" t="s">
        <v>53</v>
      </c>
      <c r="D16" s="13" t="s">
        <v>58</v>
      </c>
      <c r="E16" s="13">
        <v>35</v>
      </c>
      <c r="F16" s="13">
        <v>8</v>
      </c>
      <c r="G16" s="16">
        <v>45311</v>
      </c>
      <c r="I16" s="23">
        <f>SUMPRODUCT(Table46[[#This Row],[Quantity]]*Table46[[#This Row],[UnitPrice]])</f>
        <v>280</v>
      </c>
    </row>
    <row r="17" spans="1:9" ht="15.75" thickBot="1" x14ac:dyDescent="0.3">
      <c r="A17" s="15">
        <v>1013</v>
      </c>
      <c r="B17" s="13" t="s">
        <v>64</v>
      </c>
      <c r="C17" s="13" t="s">
        <v>44</v>
      </c>
      <c r="D17" s="13" t="s">
        <v>45</v>
      </c>
      <c r="E17" s="13">
        <v>14</v>
      </c>
      <c r="F17" s="13">
        <v>50</v>
      </c>
      <c r="G17" s="16">
        <v>45313</v>
      </c>
      <c r="I17" s="23">
        <f>SUMPRODUCT(Table46[[#This Row],[Quantity]]*Table46[[#This Row],[UnitPrice]])</f>
        <v>700</v>
      </c>
    </row>
    <row r="18" spans="1:9" ht="15.75" thickBot="1" x14ac:dyDescent="0.3">
      <c r="A18" s="15">
        <v>1014</v>
      </c>
      <c r="B18" s="13" t="s">
        <v>65</v>
      </c>
      <c r="C18" s="13" t="s">
        <v>47</v>
      </c>
      <c r="D18" s="13" t="s">
        <v>48</v>
      </c>
      <c r="E18" s="13">
        <v>28</v>
      </c>
      <c r="F18" s="13">
        <v>10</v>
      </c>
      <c r="G18" s="16">
        <v>45314</v>
      </c>
      <c r="I18" s="23">
        <f>SUMPRODUCT(Table46[[#This Row],[Quantity]]*Table46[[#This Row],[UnitPrice]])</f>
        <v>280</v>
      </c>
    </row>
    <row r="19" spans="1:9" ht="15.75" thickBot="1" x14ac:dyDescent="0.3">
      <c r="A19" s="15">
        <v>1015</v>
      </c>
      <c r="B19" s="13" t="s">
        <v>66</v>
      </c>
      <c r="C19" s="13" t="s">
        <v>50</v>
      </c>
      <c r="D19" s="13" t="s">
        <v>51</v>
      </c>
      <c r="E19" s="13">
        <v>12</v>
      </c>
      <c r="F19" s="13">
        <v>25</v>
      </c>
      <c r="G19" s="16">
        <v>45315</v>
      </c>
      <c r="I19" s="23">
        <f>SUMPRODUCT(Table46[[#This Row],[Quantity]]*Table46[[#This Row],[UnitPrice]])</f>
        <v>300</v>
      </c>
    </row>
    <row r="20" spans="1:9" ht="15.75" thickBot="1" x14ac:dyDescent="0.3">
      <c r="A20" s="15">
        <v>1016</v>
      </c>
      <c r="B20" s="13" t="s">
        <v>67</v>
      </c>
      <c r="C20" s="13" t="s">
        <v>53</v>
      </c>
      <c r="D20" s="13" t="s">
        <v>55</v>
      </c>
      <c r="E20" s="13">
        <v>25</v>
      </c>
      <c r="F20" s="13">
        <v>5</v>
      </c>
      <c r="G20" s="16">
        <v>45317</v>
      </c>
      <c r="I20" s="23">
        <f>SUMPRODUCT(Table46[[#This Row],[Quantity]]*Table46[[#This Row],[UnitPrice]])</f>
        <v>125</v>
      </c>
    </row>
    <row r="21" spans="1:9" ht="15.75" thickBot="1" x14ac:dyDescent="0.3">
      <c r="A21" s="15">
        <v>1017</v>
      </c>
      <c r="B21" s="13" t="s">
        <v>68</v>
      </c>
      <c r="C21" s="13" t="s">
        <v>44</v>
      </c>
      <c r="D21" s="13" t="s">
        <v>58</v>
      </c>
      <c r="E21" s="13">
        <v>20</v>
      </c>
      <c r="F21" s="13">
        <v>8</v>
      </c>
      <c r="G21" s="16">
        <v>45319</v>
      </c>
      <c r="I21" s="23">
        <f>SUMPRODUCT(Table46[[#This Row],[Quantity]]*Table46[[#This Row],[UnitPrice]])</f>
        <v>160</v>
      </c>
    </row>
    <row r="22" spans="1:9" ht="15.75" thickBot="1" x14ac:dyDescent="0.3">
      <c r="A22" s="15">
        <v>1018</v>
      </c>
      <c r="B22" s="13" t="s">
        <v>69</v>
      </c>
      <c r="C22" s="13" t="s">
        <v>47</v>
      </c>
      <c r="D22" s="13" t="s">
        <v>45</v>
      </c>
      <c r="E22" s="13">
        <v>10</v>
      </c>
      <c r="F22" s="13">
        <v>50</v>
      </c>
      <c r="G22" s="16">
        <v>45320</v>
      </c>
      <c r="I22" s="23">
        <f>SUMPRODUCT(Table46[[#This Row],[Quantity]]*Table46[[#This Row],[UnitPrice]])</f>
        <v>500</v>
      </c>
    </row>
    <row r="23" spans="1:9" ht="15.75" thickBot="1" x14ac:dyDescent="0.3">
      <c r="A23" s="15">
        <v>1019</v>
      </c>
      <c r="B23" s="13" t="s">
        <v>70</v>
      </c>
      <c r="C23" s="13" t="s">
        <v>50</v>
      </c>
      <c r="D23" s="13" t="s">
        <v>48</v>
      </c>
      <c r="E23" s="13">
        <v>15</v>
      </c>
      <c r="F23" s="13">
        <v>10</v>
      </c>
      <c r="G23" s="16">
        <v>45321</v>
      </c>
      <c r="I23" s="23">
        <f>SUMPRODUCT(Table46[[#This Row],[Quantity]]*Table46[[#This Row],[UnitPrice]])</f>
        <v>150</v>
      </c>
    </row>
    <row r="24" spans="1:9" ht="15.75" thickBot="1" x14ac:dyDescent="0.3">
      <c r="A24" s="15">
        <v>1020</v>
      </c>
      <c r="B24" s="13" t="s">
        <v>71</v>
      </c>
      <c r="C24" s="13" t="s">
        <v>53</v>
      </c>
      <c r="D24" s="13" t="s">
        <v>51</v>
      </c>
      <c r="E24" s="13">
        <v>18</v>
      </c>
      <c r="F24" s="13">
        <v>25</v>
      </c>
      <c r="G24" s="16">
        <v>45323</v>
      </c>
      <c r="I24" s="23">
        <f>SUMPRODUCT(Table46[[#This Row],[Quantity]]*Table46[[#This Row],[UnitPrice]])</f>
        <v>450</v>
      </c>
    </row>
    <row r="25" spans="1:9" ht="15.75" thickBot="1" x14ac:dyDescent="0.3">
      <c r="A25" s="15">
        <v>1021</v>
      </c>
      <c r="B25" s="13" t="s">
        <v>72</v>
      </c>
      <c r="C25" s="13" t="s">
        <v>44</v>
      </c>
      <c r="D25" s="13" t="s">
        <v>45</v>
      </c>
      <c r="E25" s="13">
        <v>9</v>
      </c>
      <c r="F25" s="13">
        <v>50</v>
      </c>
      <c r="G25" s="16">
        <v>45324</v>
      </c>
      <c r="I25" s="23">
        <f>SUMPRODUCT(Table46[[#This Row],[Quantity]]*Table46[[#This Row],[UnitPrice]])</f>
        <v>450</v>
      </c>
    </row>
    <row r="26" spans="1:9" ht="15.75" thickBot="1" x14ac:dyDescent="0.3">
      <c r="A26" s="15">
        <v>1022</v>
      </c>
      <c r="B26" s="13" t="s">
        <v>73</v>
      </c>
      <c r="C26" s="13" t="s">
        <v>47</v>
      </c>
      <c r="D26" s="13" t="s">
        <v>55</v>
      </c>
      <c r="E26" s="13">
        <v>35</v>
      </c>
      <c r="F26" s="13">
        <v>5</v>
      </c>
      <c r="G26" s="16">
        <v>45325</v>
      </c>
      <c r="I26" s="23">
        <f>SUMPRODUCT(Table46[[#This Row],[Quantity]]*Table46[[#This Row],[UnitPrice]])</f>
        <v>175</v>
      </c>
    </row>
    <row r="27" spans="1:9" ht="15.75" thickBot="1" x14ac:dyDescent="0.3">
      <c r="A27" s="15">
        <v>1023</v>
      </c>
      <c r="B27" s="13" t="s">
        <v>74</v>
      </c>
      <c r="C27" s="13" t="s">
        <v>50</v>
      </c>
      <c r="D27" s="13" t="s">
        <v>58</v>
      </c>
      <c r="E27" s="13">
        <v>30</v>
      </c>
      <c r="F27" s="13">
        <v>8</v>
      </c>
      <c r="G27" s="16">
        <v>45326</v>
      </c>
      <c r="I27" s="23">
        <f>SUMPRODUCT(Table46[[#This Row],[Quantity]]*Table46[[#This Row],[UnitPrice]])</f>
        <v>240</v>
      </c>
    </row>
    <row r="28" spans="1:9" ht="15.75" thickBot="1" x14ac:dyDescent="0.3">
      <c r="A28" s="15">
        <v>1024</v>
      </c>
      <c r="B28" s="13" t="s">
        <v>75</v>
      </c>
      <c r="C28" s="13" t="s">
        <v>53</v>
      </c>
      <c r="D28" s="13" t="s">
        <v>45</v>
      </c>
      <c r="E28" s="13">
        <v>11</v>
      </c>
      <c r="F28" s="13">
        <v>50</v>
      </c>
      <c r="G28" s="16">
        <v>45328</v>
      </c>
      <c r="I28" s="23">
        <f>SUMPRODUCT(Table46[[#This Row],[Quantity]]*Table46[[#This Row],[UnitPrice]])</f>
        <v>550</v>
      </c>
    </row>
    <row r="29" spans="1:9" ht="15.75" thickBot="1" x14ac:dyDescent="0.3">
      <c r="A29" s="15">
        <v>1025</v>
      </c>
      <c r="B29" s="13" t="s">
        <v>76</v>
      </c>
      <c r="C29" s="13" t="s">
        <v>44</v>
      </c>
      <c r="D29" s="13" t="s">
        <v>48</v>
      </c>
      <c r="E29" s="13">
        <v>14</v>
      </c>
      <c r="F29" s="13">
        <v>10</v>
      </c>
      <c r="G29" s="16">
        <v>45329</v>
      </c>
      <c r="I29" s="23">
        <f>SUMPRODUCT(Table46[[#This Row],[Quantity]]*Table46[[#This Row],[UnitPrice]])</f>
        <v>140</v>
      </c>
    </row>
    <row r="30" spans="1:9" ht="15.75" thickBot="1" x14ac:dyDescent="0.3">
      <c r="A30" s="15">
        <v>1026</v>
      </c>
      <c r="B30" s="13" t="s">
        <v>77</v>
      </c>
      <c r="C30" s="13" t="s">
        <v>47</v>
      </c>
      <c r="D30" s="13" t="s">
        <v>51</v>
      </c>
      <c r="E30" s="13">
        <v>16</v>
      </c>
      <c r="F30" s="13">
        <v>25</v>
      </c>
      <c r="G30" s="16">
        <v>45330</v>
      </c>
      <c r="I30" s="23">
        <f>SUMPRODUCT(Table46[[#This Row],[Quantity]]*Table46[[#This Row],[UnitPrice]])</f>
        <v>400</v>
      </c>
    </row>
    <row r="31" spans="1:9" ht="15.75" thickBot="1" x14ac:dyDescent="0.3">
      <c r="A31" s="15">
        <v>1027</v>
      </c>
      <c r="B31" s="13" t="s">
        <v>78</v>
      </c>
      <c r="C31" s="13" t="s">
        <v>50</v>
      </c>
      <c r="D31" s="13" t="s">
        <v>55</v>
      </c>
      <c r="E31" s="13">
        <v>22</v>
      </c>
      <c r="F31" s="13">
        <v>5</v>
      </c>
      <c r="G31" s="16">
        <v>45331</v>
      </c>
      <c r="I31" s="23">
        <f>SUMPRODUCT(Table46[[#This Row],[Quantity]]*Table46[[#This Row],[UnitPrice]])</f>
        <v>110</v>
      </c>
    </row>
    <row r="32" spans="1:9" ht="15.75" thickBot="1" x14ac:dyDescent="0.3">
      <c r="A32" s="15">
        <v>1028</v>
      </c>
      <c r="B32" s="13" t="s">
        <v>79</v>
      </c>
      <c r="C32" s="13" t="s">
        <v>53</v>
      </c>
      <c r="D32" s="13" t="s">
        <v>58</v>
      </c>
      <c r="E32" s="13">
        <v>27</v>
      </c>
      <c r="F32" s="13">
        <v>8</v>
      </c>
      <c r="G32" s="16">
        <v>45332</v>
      </c>
      <c r="I32" s="23">
        <f>SUMPRODUCT(Table46[[#This Row],[Quantity]]*Table46[[#This Row],[UnitPrice]])</f>
        <v>216</v>
      </c>
    </row>
    <row r="33" spans="1:9" ht="30.75" thickBot="1" x14ac:dyDescent="0.3">
      <c r="A33" s="15">
        <v>1029</v>
      </c>
      <c r="B33" s="13" t="s">
        <v>80</v>
      </c>
      <c r="C33" s="13" t="s">
        <v>44</v>
      </c>
      <c r="D33" s="13" t="s">
        <v>45</v>
      </c>
      <c r="E33" s="13">
        <v>13</v>
      </c>
      <c r="F33" s="13">
        <v>50</v>
      </c>
      <c r="G33" s="16">
        <v>45334</v>
      </c>
      <c r="I33" s="23">
        <f>SUMPRODUCT(Table46[[#This Row],[Quantity]]*Table46[[#This Row],[UnitPrice]])</f>
        <v>650</v>
      </c>
    </row>
    <row r="34" spans="1:9" ht="15.75" thickBot="1" x14ac:dyDescent="0.3">
      <c r="A34" s="15">
        <v>1030</v>
      </c>
      <c r="B34" s="13" t="s">
        <v>81</v>
      </c>
      <c r="C34" s="13" t="s">
        <v>47</v>
      </c>
      <c r="D34" s="13" t="s">
        <v>48</v>
      </c>
      <c r="E34" s="13">
        <v>32</v>
      </c>
      <c r="F34" s="13">
        <v>10</v>
      </c>
      <c r="G34" s="16">
        <v>45335</v>
      </c>
      <c r="I34" s="23">
        <f>SUMPRODUCT(Table46[[#This Row],[Quantity]]*Table46[[#This Row],[UnitPrice]])</f>
        <v>320</v>
      </c>
    </row>
    <row r="35" spans="1:9" ht="15.75" thickBot="1" x14ac:dyDescent="0.3">
      <c r="A35" s="15">
        <v>1031</v>
      </c>
      <c r="B35" s="13" t="s">
        <v>82</v>
      </c>
      <c r="C35" s="13" t="s">
        <v>50</v>
      </c>
      <c r="D35" s="13" t="s">
        <v>51</v>
      </c>
      <c r="E35" s="13">
        <v>10</v>
      </c>
      <c r="F35" s="13">
        <v>25</v>
      </c>
      <c r="G35" s="16">
        <v>45336</v>
      </c>
      <c r="I35" s="23">
        <f>SUMPRODUCT(Table46[[#This Row],[Quantity]]*Table46[[#This Row],[UnitPrice]])</f>
        <v>250</v>
      </c>
    </row>
    <row r="36" spans="1:9" ht="15.75" thickBot="1" x14ac:dyDescent="0.3">
      <c r="A36" s="15">
        <v>1032</v>
      </c>
      <c r="B36" s="13" t="s">
        <v>83</v>
      </c>
      <c r="C36" s="13" t="s">
        <v>53</v>
      </c>
      <c r="D36" s="13" t="s">
        <v>55</v>
      </c>
      <c r="E36" s="13">
        <v>18</v>
      </c>
      <c r="F36" s="13">
        <v>5</v>
      </c>
      <c r="G36" s="16">
        <v>45338</v>
      </c>
      <c r="I36" s="23">
        <f>SUMPRODUCT(Table46[[#This Row],[Quantity]]*Table46[[#This Row],[UnitPrice]])</f>
        <v>90</v>
      </c>
    </row>
    <row r="37" spans="1:9" ht="15.75" thickBot="1" x14ac:dyDescent="0.3">
      <c r="A37" s="15">
        <v>1033</v>
      </c>
      <c r="B37" s="13" t="s">
        <v>84</v>
      </c>
      <c r="C37" s="13" t="s">
        <v>44</v>
      </c>
      <c r="D37" s="13" t="s">
        <v>58</v>
      </c>
      <c r="E37" s="13">
        <v>22</v>
      </c>
      <c r="F37" s="13">
        <v>8</v>
      </c>
      <c r="G37" s="16">
        <v>45339</v>
      </c>
      <c r="I37" s="23">
        <f>SUMPRODUCT(Table46[[#This Row],[Quantity]]*Table46[[#This Row],[UnitPrice]])</f>
        <v>176</v>
      </c>
    </row>
    <row r="38" spans="1:9" ht="15.75" thickBot="1" x14ac:dyDescent="0.3">
      <c r="A38" s="15">
        <v>1034</v>
      </c>
      <c r="B38" s="13" t="s">
        <v>85</v>
      </c>
      <c r="C38" s="13" t="s">
        <v>47</v>
      </c>
      <c r="D38" s="13" t="s">
        <v>45</v>
      </c>
      <c r="E38" s="13">
        <v>17</v>
      </c>
      <c r="F38" s="13">
        <v>50</v>
      </c>
      <c r="G38" s="16">
        <v>45340</v>
      </c>
      <c r="I38" s="23">
        <f>SUMPRODUCT(Table46[[#This Row],[Quantity]]*Table46[[#This Row],[UnitPrice]])</f>
        <v>850</v>
      </c>
    </row>
    <row r="39" spans="1:9" ht="15.75" thickBot="1" x14ac:dyDescent="0.3">
      <c r="A39" s="15">
        <v>1035</v>
      </c>
      <c r="B39" s="13" t="s">
        <v>86</v>
      </c>
      <c r="C39" s="13" t="s">
        <v>50</v>
      </c>
      <c r="D39" s="13" t="s">
        <v>48</v>
      </c>
      <c r="E39" s="13">
        <v>19</v>
      </c>
      <c r="F39" s="13">
        <v>10</v>
      </c>
      <c r="G39" s="16">
        <v>45341</v>
      </c>
      <c r="I39" s="23">
        <f>SUMPRODUCT(Table46[[#This Row],[Quantity]]*Table46[[#This Row],[UnitPrice]])</f>
        <v>190</v>
      </c>
    </row>
    <row r="40" spans="1:9" ht="15.75" thickBot="1" x14ac:dyDescent="0.3">
      <c r="A40" s="15">
        <v>1036</v>
      </c>
      <c r="B40" s="13" t="s">
        <v>87</v>
      </c>
      <c r="C40" s="13" t="s">
        <v>53</v>
      </c>
      <c r="D40" s="13" t="s">
        <v>51</v>
      </c>
      <c r="E40" s="13">
        <v>15</v>
      </c>
      <c r="F40" s="13">
        <v>25</v>
      </c>
      <c r="G40" s="16">
        <v>45343</v>
      </c>
      <c r="I40" s="23">
        <f>SUMPRODUCT(Table46[[#This Row],[Quantity]]*Table46[[#This Row],[UnitPrice]])</f>
        <v>375</v>
      </c>
    </row>
    <row r="41" spans="1:9" ht="15.75" thickBot="1" x14ac:dyDescent="0.3">
      <c r="A41" s="15">
        <v>1037</v>
      </c>
      <c r="B41" s="13" t="s">
        <v>88</v>
      </c>
      <c r="C41" s="13" t="s">
        <v>44</v>
      </c>
      <c r="D41" s="13" t="s">
        <v>55</v>
      </c>
      <c r="E41" s="13">
        <v>28</v>
      </c>
      <c r="F41" s="13">
        <v>5</v>
      </c>
      <c r="G41" s="16">
        <v>45344</v>
      </c>
      <c r="I41" s="23">
        <f>SUMPRODUCT(Table46[[#This Row],[Quantity]]*Table46[[#This Row],[UnitPrice]])</f>
        <v>140</v>
      </c>
    </row>
    <row r="42" spans="1:9" ht="15.75" thickBot="1" x14ac:dyDescent="0.3">
      <c r="A42" s="15">
        <v>1038</v>
      </c>
      <c r="B42" s="13" t="s">
        <v>89</v>
      </c>
      <c r="C42" s="13" t="s">
        <v>47</v>
      </c>
      <c r="D42" s="13" t="s">
        <v>58</v>
      </c>
      <c r="E42" s="13">
        <v>24</v>
      </c>
      <c r="F42" s="13">
        <v>8</v>
      </c>
      <c r="G42" s="16">
        <v>45345</v>
      </c>
      <c r="I42" s="23">
        <f>SUMPRODUCT(Table46[[#This Row],[Quantity]]*Table46[[#This Row],[UnitPrice]])</f>
        <v>192</v>
      </c>
    </row>
    <row r="43" spans="1:9" ht="15.75" thickBot="1" x14ac:dyDescent="0.3">
      <c r="A43" s="15">
        <v>1039</v>
      </c>
      <c r="B43" s="13" t="s">
        <v>90</v>
      </c>
      <c r="C43" s="13" t="s">
        <v>50</v>
      </c>
      <c r="D43" s="13" t="s">
        <v>45</v>
      </c>
      <c r="E43" s="13">
        <v>16</v>
      </c>
      <c r="F43" s="13">
        <v>50</v>
      </c>
      <c r="G43" s="16">
        <v>45347</v>
      </c>
      <c r="I43" s="23">
        <f>SUMPRODUCT(Table46[[#This Row],[Quantity]]*Table46[[#This Row],[UnitPrice]])</f>
        <v>800</v>
      </c>
    </row>
    <row r="44" spans="1:9" ht="15.75" thickBot="1" x14ac:dyDescent="0.3">
      <c r="A44" s="15">
        <v>1040</v>
      </c>
      <c r="B44" s="13" t="s">
        <v>91</v>
      </c>
      <c r="C44" s="13" t="s">
        <v>53</v>
      </c>
      <c r="D44" s="13" t="s">
        <v>48</v>
      </c>
      <c r="E44" s="13">
        <v>27</v>
      </c>
      <c r="F44" s="13">
        <v>10</v>
      </c>
      <c r="G44" s="16">
        <v>45348</v>
      </c>
      <c r="I44" s="23">
        <f>SUMPRODUCT(Table46[[#This Row],[Quantity]]*Table46[[#This Row],[UnitPrice]])</f>
        <v>270</v>
      </c>
    </row>
    <row r="45" spans="1:9" ht="15.75" thickBot="1" x14ac:dyDescent="0.3">
      <c r="A45" s="15">
        <v>1041</v>
      </c>
      <c r="B45" s="13" t="s">
        <v>92</v>
      </c>
      <c r="C45" s="13" t="s">
        <v>44</v>
      </c>
      <c r="D45" s="13" t="s">
        <v>51</v>
      </c>
      <c r="E45" s="13">
        <v>21</v>
      </c>
      <c r="F45" s="13">
        <v>25</v>
      </c>
      <c r="G45" s="16">
        <v>45349</v>
      </c>
      <c r="I45" s="23">
        <f>SUMPRODUCT(Table46[[#This Row],[Quantity]]*Table46[[#This Row],[UnitPrice]])</f>
        <v>525</v>
      </c>
    </row>
    <row r="46" spans="1:9" ht="30.75" thickBot="1" x14ac:dyDescent="0.3">
      <c r="A46" s="15">
        <v>1042</v>
      </c>
      <c r="B46" s="13" t="s">
        <v>93</v>
      </c>
      <c r="C46" s="13" t="s">
        <v>47</v>
      </c>
      <c r="D46" s="13" t="s">
        <v>55</v>
      </c>
      <c r="E46" s="13">
        <v>30</v>
      </c>
      <c r="F46" s="13">
        <v>5</v>
      </c>
      <c r="G46" s="16">
        <v>45350</v>
      </c>
      <c r="I46" s="23">
        <f>SUMPRODUCT(Table46[[#This Row],[Quantity]]*Table46[[#This Row],[UnitPrice]])</f>
        <v>150</v>
      </c>
    </row>
    <row r="47" spans="1:9" ht="15.75" thickBot="1" x14ac:dyDescent="0.3">
      <c r="A47" s="15">
        <v>1043</v>
      </c>
      <c r="B47" s="13" t="s">
        <v>94</v>
      </c>
      <c r="C47" s="13" t="s">
        <v>50</v>
      </c>
      <c r="D47" s="13" t="s">
        <v>58</v>
      </c>
      <c r="E47" s="13">
        <v>26</v>
      </c>
      <c r="F47" s="13">
        <v>8</v>
      </c>
      <c r="G47" s="16">
        <v>45352</v>
      </c>
      <c r="I47" s="23">
        <f>SUMPRODUCT(Table46[[#This Row],[Quantity]]*Table46[[#This Row],[UnitPrice]])</f>
        <v>208</v>
      </c>
    </row>
    <row r="48" spans="1:9" ht="15.75" thickBot="1" x14ac:dyDescent="0.3">
      <c r="A48" s="15">
        <v>1044</v>
      </c>
      <c r="B48" s="13" t="s">
        <v>95</v>
      </c>
      <c r="C48" s="13" t="s">
        <v>53</v>
      </c>
      <c r="D48" s="13" t="s">
        <v>45</v>
      </c>
      <c r="E48" s="13">
        <v>14</v>
      </c>
      <c r="F48" s="13">
        <v>50</v>
      </c>
      <c r="G48" s="16">
        <v>45353</v>
      </c>
      <c r="I48" s="23">
        <f>SUMPRODUCT(Table46[[#This Row],[Quantity]]*Table46[[#This Row],[UnitPrice]])</f>
        <v>700</v>
      </c>
    </row>
    <row r="49" spans="1:9" ht="15.75" thickBot="1" x14ac:dyDescent="0.3">
      <c r="A49" s="15">
        <v>1045</v>
      </c>
      <c r="B49" s="13" t="s">
        <v>96</v>
      </c>
      <c r="C49" s="13" t="s">
        <v>44</v>
      </c>
      <c r="D49" s="13" t="s">
        <v>48</v>
      </c>
      <c r="E49" s="13">
        <v>20</v>
      </c>
      <c r="F49" s="13">
        <v>10</v>
      </c>
      <c r="G49" s="16">
        <v>45354</v>
      </c>
      <c r="I49" s="23">
        <f>SUMPRODUCT(Table46[[#This Row],[Quantity]]*Table46[[#This Row],[UnitPrice]])</f>
        <v>200</v>
      </c>
    </row>
    <row r="50" spans="1:9" ht="15.75" thickBot="1" x14ac:dyDescent="0.3">
      <c r="A50" s="15">
        <v>1046</v>
      </c>
      <c r="B50" s="13" t="s">
        <v>97</v>
      </c>
      <c r="C50" s="13" t="s">
        <v>47</v>
      </c>
      <c r="D50" s="13" t="s">
        <v>51</v>
      </c>
      <c r="E50" s="13">
        <v>17</v>
      </c>
      <c r="F50" s="13">
        <v>25</v>
      </c>
      <c r="G50" s="16">
        <v>45355</v>
      </c>
      <c r="I50" s="23">
        <f>SUMPRODUCT(Table46[[#This Row],[Quantity]]*Table46[[#This Row],[UnitPrice]])</f>
        <v>425</v>
      </c>
    </row>
    <row r="51" spans="1:9" ht="15.75" thickBot="1" x14ac:dyDescent="0.3">
      <c r="A51" s="15">
        <v>1047</v>
      </c>
      <c r="B51" s="13" t="s">
        <v>98</v>
      </c>
      <c r="C51" s="13" t="s">
        <v>50</v>
      </c>
      <c r="D51" s="13" t="s">
        <v>55</v>
      </c>
      <c r="E51" s="13">
        <v>19</v>
      </c>
      <c r="F51" s="13">
        <v>5</v>
      </c>
      <c r="G51" s="16">
        <v>45356</v>
      </c>
      <c r="I51" s="23">
        <f>SUMPRODUCT(Table46[[#This Row],[Quantity]]*Table46[[#This Row],[UnitPrice]])</f>
        <v>95</v>
      </c>
    </row>
    <row r="52" spans="1:9" ht="15.75" thickBot="1" x14ac:dyDescent="0.3">
      <c r="A52" s="15">
        <v>1048</v>
      </c>
      <c r="B52" s="13" t="s">
        <v>99</v>
      </c>
      <c r="C52" s="13" t="s">
        <v>53</v>
      </c>
      <c r="D52" s="13" t="s">
        <v>58</v>
      </c>
      <c r="E52" s="13">
        <v>32</v>
      </c>
      <c r="F52" s="13">
        <v>8</v>
      </c>
      <c r="G52" s="16">
        <v>45357</v>
      </c>
      <c r="I52" s="23">
        <f>SUMPRODUCT(Table46[[#This Row],[Quantity]]*Table46[[#This Row],[UnitPrice]])</f>
        <v>256</v>
      </c>
    </row>
    <row r="53" spans="1:9" ht="15.75" thickBot="1" x14ac:dyDescent="0.3">
      <c r="A53" s="15">
        <v>1049</v>
      </c>
      <c r="B53" s="13" t="s">
        <v>100</v>
      </c>
      <c r="C53" s="13" t="s">
        <v>44</v>
      </c>
      <c r="D53" s="13" t="s">
        <v>45</v>
      </c>
      <c r="E53" s="13">
        <v>12</v>
      </c>
      <c r="F53" s="13">
        <v>50</v>
      </c>
      <c r="G53" s="16">
        <v>45358</v>
      </c>
      <c r="I53" s="23">
        <f>SUMPRODUCT(Table46[[#This Row],[Quantity]]*Table46[[#This Row],[UnitPrice]])</f>
        <v>600</v>
      </c>
    </row>
    <row r="54" spans="1:9" ht="30" x14ac:dyDescent="0.25">
      <c r="A54" s="20">
        <v>1050</v>
      </c>
      <c r="B54" s="21" t="s">
        <v>101</v>
      </c>
      <c r="C54" s="21" t="s">
        <v>47</v>
      </c>
      <c r="D54" s="21" t="s">
        <v>48</v>
      </c>
      <c r="E54" s="21">
        <v>25</v>
      </c>
      <c r="F54" s="21">
        <v>10</v>
      </c>
      <c r="G54" s="22">
        <v>45359</v>
      </c>
      <c r="I54" s="23">
        <f>SUMPRODUCT(Table46[[#This Row],[Quantity]]*Table46[[#This Row],[UnitPrice]])</f>
        <v>250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Answer 1</vt:lpstr>
      <vt:lpstr>Answer 2</vt:lpstr>
      <vt:lpstr>Answer 3</vt:lpstr>
      <vt:lpstr>Answer 4</vt:lpstr>
      <vt:lpstr>Answer 5</vt:lpstr>
      <vt:lpstr>Answer 6</vt:lpstr>
      <vt:lpstr>Answer 7</vt:lpstr>
      <vt:lpstr>Answer 8</vt:lpstr>
    </vt:vector>
  </TitlesOfParts>
  <Company>PricewaterhouseCoopers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SONY</cp:lastModifiedBy>
  <dcterms:created xsi:type="dcterms:W3CDTF">2025-12-10T15:36:13Z</dcterms:created>
  <dcterms:modified xsi:type="dcterms:W3CDTF">2025-12-10T17:56:41Z</dcterms:modified>
</cp:coreProperties>
</file>